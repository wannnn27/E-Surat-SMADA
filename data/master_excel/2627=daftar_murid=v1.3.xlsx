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Docs\My_Curriculum\_2627\siswa\"/>
    </mc:Choice>
  </mc:AlternateContent>
  <xr:revisionPtr revIDLastSave="0" documentId="13_ncr:1_{40108CCF-7E36-44AF-B64F-243EB10F9BF6}" xr6:coauthVersionLast="47" xr6:coauthVersionMax="47" xr10:uidLastSave="{00000000-0000-0000-0000-000000000000}"/>
  <bookViews>
    <workbookView xWindow="28680" yWindow="-4575" windowWidth="29040" windowHeight="15720" xr2:uid="{191D6E1A-8B21-4DB5-9EC8-A386B2C765E6}"/>
  </bookViews>
  <sheets>
    <sheet name="10" sheetId="5" r:id="rId1"/>
    <sheet name="11" sheetId="2" r:id="rId2"/>
    <sheet name="12" sheetId="4" r:id="rId3"/>
    <sheet name="rekap" sheetId="6" r:id="rId4"/>
  </sheets>
  <definedNames>
    <definedName name="_xlnm.Print_Area" localSheetId="0">'10'!$A$1:$G$315</definedName>
    <definedName name="_xlnm.Print_Area" localSheetId="1">'11'!$A$1:$G$315</definedName>
    <definedName name="_xlnm.Print_Area" localSheetId="2">'12'!$A$1:$G$315</definedName>
    <definedName name="_xlnm.Print_Titles" localSheetId="0">'10'!$1:$7</definedName>
    <definedName name="_xlnm.Print_Titles" localSheetId="1">'11'!$1:$7</definedName>
    <definedName name="_xlnm.Print_Titles" localSheetId="2">'12'!$1:$7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8" i="2" l="1"/>
  <c r="B267" i="2"/>
  <c r="I22" i="6"/>
  <c r="I23" i="6"/>
  <c r="I24" i="6"/>
  <c r="I25" i="6"/>
  <c r="I21" i="6"/>
  <c r="V8" i="6" l="1"/>
  <c r="V9" i="6"/>
  <c r="V10" i="6"/>
  <c r="V11" i="6"/>
  <c r="V7" i="6"/>
  <c r="V6" i="6"/>
  <c r="V5" i="6"/>
  <c r="U8" i="6"/>
  <c r="U9" i="6"/>
  <c r="U10" i="6"/>
  <c r="U11" i="6"/>
  <c r="U7" i="6"/>
  <c r="U6" i="6"/>
  <c r="U5" i="6"/>
  <c r="T8" i="6"/>
  <c r="T9" i="6"/>
  <c r="T10" i="6"/>
  <c r="T11" i="6"/>
  <c r="T7" i="6"/>
  <c r="T6" i="6"/>
  <c r="T5" i="6"/>
  <c r="S8" i="6"/>
  <c r="S9" i="6"/>
  <c r="S10" i="6"/>
  <c r="S11" i="6"/>
  <c r="S7" i="6"/>
  <c r="S6" i="6" l="1"/>
  <c r="S5" i="6"/>
  <c r="R8" i="6"/>
  <c r="R9" i="6"/>
  <c r="R10" i="6"/>
  <c r="R11" i="6"/>
  <c r="R7" i="6"/>
  <c r="R6" i="6"/>
  <c r="R5" i="6"/>
  <c r="Q8" i="6"/>
  <c r="Q9" i="6"/>
  <c r="Q10" i="6"/>
  <c r="Q11" i="6"/>
  <c r="Q7" i="6"/>
  <c r="Q6" i="6"/>
  <c r="Q5" i="6"/>
  <c r="E315" i="5" l="1"/>
  <c r="I11" i="6" s="1"/>
  <c r="E314" i="5"/>
  <c r="I10" i="6" s="1"/>
  <c r="E313" i="5"/>
  <c r="I9" i="6" s="1"/>
  <c r="E312" i="5"/>
  <c r="I8" i="6" s="1"/>
  <c r="B312" i="5"/>
  <c r="I6" i="6" s="1"/>
  <c r="E311" i="5"/>
  <c r="I7" i="6" s="1"/>
  <c r="B311" i="5"/>
  <c r="I5" i="6" s="1"/>
  <c r="E271" i="5"/>
  <c r="H11" i="6" s="1"/>
  <c r="E270" i="5"/>
  <c r="H10" i="6" s="1"/>
  <c r="E269" i="5"/>
  <c r="H9" i="6" s="1"/>
  <c r="E268" i="5"/>
  <c r="H8" i="6" s="1"/>
  <c r="B268" i="5"/>
  <c r="H6" i="6" s="1"/>
  <c r="E267" i="5"/>
  <c r="H7" i="6" s="1"/>
  <c r="B267" i="5"/>
  <c r="H5" i="6" s="1"/>
  <c r="E227" i="5"/>
  <c r="G11" i="6" s="1"/>
  <c r="E226" i="5"/>
  <c r="G10" i="6" s="1"/>
  <c r="E225" i="5"/>
  <c r="G9" i="6" s="1"/>
  <c r="E224" i="5"/>
  <c r="G8" i="6" s="1"/>
  <c r="B224" i="5"/>
  <c r="G6" i="6" s="1"/>
  <c r="E223" i="5"/>
  <c r="G7" i="6" s="1"/>
  <c r="B223" i="5"/>
  <c r="E183" i="5"/>
  <c r="F11" i="6" s="1"/>
  <c r="E182" i="5"/>
  <c r="F10" i="6" s="1"/>
  <c r="E181" i="5"/>
  <c r="F9" i="6" s="1"/>
  <c r="E180" i="5"/>
  <c r="F8" i="6" s="1"/>
  <c r="B180" i="5"/>
  <c r="F6" i="6" s="1"/>
  <c r="E179" i="5"/>
  <c r="F7" i="6" s="1"/>
  <c r="B179" i="5"/>
  <c r="F5" i="6" s="1"/>
  <c r="E139" i="5"/>
  <c r="E11" i="6" s="1"/>
  <c r="E138" i="5"/>
  <c r="E10" i="6" s="1"/>
  <c r="E137" i="5"/>
  <c r="E9" i="6" s="1"/>
  <c r="E136" i="5"/>
  <c r="E8" i="6" s="1"/>
  <c r="B136" i="5"/>
  <c r="E6" i="6" s="1"/>
  <c r="E135" i="5"/>
  <c r="E7" i="6" s="1"/>
  <c r="B135" i="5"/>
  <c r="E95" i="5"/>
  <c r="D11" i="6" s="1"/>
  <c r="E94" i="5"/>
  <c r="D10" i="6" s="1"/>
  <c r="E93" i="5"/>
  <c r="D9" i="6" s="1"/>
  <c r="E92" i="5"/>
  <c r="D8" i="6" s="1"/>
  <c r="B92" i="5"/>
  <c r="D6" i="6" s="1"/>
  <c r="E91" i="5"/>
  <c r="D7" i="6" s="1"/>
  <c r="B91" i="5"/>
  <c r="E51" i="5"/>
  <c r="C11" i="6" s="1"/>
  <c r="E50" i="5"/>
  <c r="C10" i="6" s="1"/>
  <c r="E49" i="5"/>
  <c r="C9" i="6" s="1"/>
  <c r="E48" i="5"/>
  <c r="C8" i="6" s="1"/>
  <c r="B48" i="5"/>
  <c r="C6" i="6" s="1"/>
  <c r="E47" i="5"/>
  <c r="C7" i="6" s="1"/>
  <c r="B47" i="5"/>
  <c r="C5" i="6" s="1"/>
  <c r="E315" i="4"/>
  <c r="W11" i="6" s="1"/>
  <c r="E314" i="4"/>
  <c r="W10" i="6" s="1"/>
  <c r="E313" i="4"/>
  <c r="W9" i="6" s="1"/>
  <c r="E312" i="4"/>
  <c r="W8" i="6" s="1"/>
  <c r="B312" i="4"/>
  <c r="W6" i="6" s="1"/>
  <c r="E311" i="4"/>
  <c r="W7" i="6" s="1"/>
  <c r="B311" i="4"/>
  <c r="E271" i="4"/>
  <c r="E270" i="4"/>
  <c r="E269" i="4"/>
  <c r="E268" i="4"/>
  <c r="B268" i="4"/>
  <c r="E267" i="4"/>
  <c r="B267" i="4"/>
  <c r="B269" i="4" s="1"/>
  <c r="E227" i="4"/>
  <c r="E226" i="4"/>
  <c r="E225" i="4"/>
  <c r="E224" i="4"/>
  <c r="B224" i="4"/>
  <c r="E223" i="4"/>
  <c r="B223" i="4"/>
  <c r="B225" i="4" s="1"/>
  <c r="E183" i="4"/>
  <c r="E182" i="4"/>
  <c r="E181" i="4"/>
  <c r="E180" i="4"/>
  <c r="B180" i="4"/>
  <c r="E179" i="4"/>
  <c r="B179" i="4"/>
  <c r="B181" i="4" s="1"/>
  <c r="E139" i="4"/>
  <c r="E138" i="4"/>
  <c r="E137" i="4"/>
  <c r="E136" i="4"/>
  <c r="B136" i="4"/>
  <c r="E135" i="4"/>
  <c r="B135" i="4"/>
  <c r="B137" i="4" s="1"/>
  <c r="E95" i="4"/>
  <c r="E94" i="4"/>
  <c r="E93" i="4"/>
  <c r="E92" i="4"/>
  <c r="B92" i="4"/>
  <c r="E91" i="4"/>
  <c r="B91" i="4"/>
  <c r="B93" i="4" s="1"/>
  <c r="E51" i="4"/>
  <c r="E50" i="4"/>
  <c r="E49" i="4"/>
  <c r="E48" i="4"/>
  <c r="B48" i="4"/>
  <c r="E47" i="4"/>
  <c r="B47" i="4"/>
  <c r="B49" i="4" s="1"/>
  <c r="E315" i="2"/>
  <c r="P11" i="6" s="1"/>
  <c r="E314" i="2"/>
  <c r="P10" i="6" s="1"/>
  <c r="E271" i="2"/>
  <c r="O11" i="6" s="1"/>
  <c r="E270" i="2"/>
  <c r="O10" i="6" s="1"/>
  <c r="E227" i="2"/>
  <c r="N11" i="6" s="1"/>
  <c r="E226" i="2"/>
  <c r="N10" i="6" s="1"/>
  <c r="E183" i="2"/>
  <c r="M11" i="6" s="1"/>
  <c r="E182" i="2"/>
  <c r="M10" i="6" s="1"/>
  <c r="E139" i="2"/>
  <c r="L11" i="6" s="1"/>
  <c r="E138" i="2"/>
  <c r="L10" i="6" s="1"/>
  <c r="E95" i="2"/>
  <c r="K11" i="6" s="1"/>
  <c r="E94" i="2"/>
  <c r="K10" i="6" s="1"/>
  <c r="E313" i="2"/>
  <c r="P9" i="6" s="1"/>
  <c r="E312" i="2"/>
  <c r="P8" i="6" s="1"/>
  <c r="B312" i="2"/>
  <c r="P6" i="6" s="1"/>
  <c r="E311" i="2"/>
  <c r="P7" i="6" s="1"/>
  <c r="B311" i="2"/>
  <c r="E269" i="2"/>
  <c r="O9" i="6" s="1"/>
  <c r="E268" i="2"/>
  <c r="O8" i="6" s="1"/>
  <c r="O6" i="6"/>
  <c r="E267" i="2"/>
  <c r="O7" i="6" s="1"/>
  <c r="E225" i="2"/>
  <c r="N9" i="6" s="1"/>
  <c r="E224" i="2"/>
  <c r="N8" i="6" s="1"/>
  <c r="B224" i="2"/>
  <c r="N6" i="6" s="1"/>
  <c r="E223" i="2"/>
  <c r="N7" i="6" s="1"/>
  <c r="B223" i="2"/>
  <c r="E181" i="2"/>
  <c r="M9" i="6" s="1"/>
  <c r="E180" i="2"/>
  <c r="M8" i="6" s="1"/>
  <c r="B180" i="2"/>
  <c r="M6" i="6" s="1"/>
  <c r="E179" i="2"/>
  <c r="M7" i="6" s="1"/>
  <c r="B179" i="2"/>
  <c r="E137" i="2"/>
  <c r="L9" i="6" s="1"/>
  <c r="E136" i="2"/>
  <c r="L8" i="6" s="1"/>
  <c r="B136" i="2"/>
  <c r="L6" i="6" s="1"/>
  <c r="E135" i="2"/>
  <c r="L7" i="6" s="1"/>
  <c r="B135" i="2"/>
  <c r="L5" i="6" s="1"/>
  <c r="E93" i="2"/>
  <c r="K9" i="6" s="1"/>
  <c r="E92" i="2"/>
  <c r="K8" i="6" s="1"/>
  <c r="B92" i="2"/>
  <c r="K6" i="6" s="1"/>
  <c r="E91" i="2"/>
  <c r="K7" i="6" s="1"/>
  <c r="B91" i="2"/>
  <c r="E51" i="2"/>
  <c r="J11" i="6" s="1"/>
  <c r="E50" i="2"/>
  <c r="J10" i="6" s="1"/>
  <c r="E49" i="2"/>
  <c r="J9" i="6" s="1"/>
  <c r="E48" i="2"/>
  <c r="J8" i="6" s="1"/>
  <c r="E47" i="2"/>
  <c r="J7" i="6" s="1"/>
  <c r="B48" i="2"/>
  <c r="J6" i="6" s="1"/>
  <c r="B47" i="2"/>
  <c r="B225" i="5" l="1"/>
  <c r="G5" i="6"/>
  <c r="B137" i="5"/>
  <c r="E5" i="6"/>
  <c r="B93" i="5"/>
  <c r="D5" i="6"/>
  <c r="B313" i="2"/>
  <c r="P5" i="6"/>
  <c r="B269" i="2"/>
  <c r="O5" i="6"/>
  <c r="B225" i="2"/>
  <c r="N5" i="6"/>
  <c r="B181" i="2"/>
  <c r="M5" i="6"/>
  <c r="B137" i="2"/>
  <c r="B93" i="2"/>
  <c r="K5" i="6"/>
  <c r="B49" i="2"/>
  <c r="J5" i="6"/>
  <c r="B313" i="4"/>
  <c r="W5" i="6"/>
  <c r="B313" i="5"/>
  <c r="B269" i="5"/>
  <c r="B181" i="5"/>
  <c r="B49" i="5"/>
</calcChain>
</file>

<file path=xl/sharedStrings.xml><?xml version="1.0" encoding="utf-8"?>
<sst xmlns="http://schemas.openxmlformats.org/spreadsheetml/2006/main" count="4437" uniqueCount="1619">
  <si>
    <t xml:space="preserve">No </t>
  </si>
  <si>
    <t>Nama</t>
  </si>
  <si>
    <t>Urt</t>
  </si>
  <si>
    <t>Induk</t>
  </si>
  <si>
    <t>NISN</t>
  </si>
  <si>
    <t>L</t>
  </si>
  <si>
    <t>P</t>
  </si>
  <si>
    <t>Jm</t>
  </si>
  <si>
    <t>Siswa</t>
  </si>
  <si>
    <t>L/P</t>
  </si>
  <si>
    <t>Agm</t>
  </si>
  <si>
    <t>Isl</t>
  </si>
  <si>
    <t>Kat</t>
  </si>
  <si>
    <t>Musik</t>
  </si>
  <si>
    <t>Rupa</t>
  </si>
  <si>
    <t>ABIGAIL JASMINE ALYA DEWANTI</t>
  </si>
  <si>
    <t>ADITYA VARDHAN</t>
  </si>
  <si>
    <t>AFIFAH MAQFIROH</t>
  </si>
  <si>
    <t>AIDA DAYANI PUTRI</t>
  </si>
  <si>
    <t>AISHECCA CINTA SALFFA AZHARA</t>
  </si>
  <si>
    <t>ANINDITA NOOR MITHA ASA PRAWESTI</t>
  </si>
  <si>
    <t>ANYA UTVIANA</t>
  </si>
  <si>
    <t>BILGHIZ NURUL KHUSNA</t>
  </si>
  <si>
    <t>CHAMELIA PUTRI ENIKA</t>
  </si>
  <si>
    <t>DAFFA AFNAN FEYZA</t>
  </si>
  <si>
    <t>DAVINA SYIFA MAHARANI</t>
  </si>
  <si>
    <t>DIAS ANGGER WICAKSONO</t>
  </si>
  <si>
    <t>DOVI KENY ORLANDO</t>
  </si>
  <si>
    <t>FADILLAH DAFA REVI</t>
  </si>
  <si>
    <t>FAHREZA FAJAR FADILA</t>
  </si>
  <si>
    <t>GUSNANDAR ADI PRASETIYA</t>
  </si>
  <si>
    <t>HAFIZAH NABILA RAMADANI</t>
  </si>
  <si>
    <t>HANIFA FIRDA NASYIFA</t>
  </si>
  <si>
    <t>HANIFAH RASYIDA</t>
  </si>
  <si>
    <t>LATHIFAH HANUN MUMTAZ</t>
  </si>
  <si>
    <t>MUHAMAD ICHSAN NUR HASTANTO</t>
  </si>
  <si>
    <t>NABILA AMALIA KHOIRUNISA</t>
  </si>
  <si>
    <t>NABILA AURELESKA FAIZAGYA</t>
  </si>
  <si>
    <t>NAILAH AKHNAF WAHYU KHAIRUNNISA</t>
  </si>
  <si>
    <t>NOVITA AGISTA WATI</t>
  </si>
  <si>
    <t>RAJENDRA ABHINAYA PURWAWIJAYA</t>
  </si>
  <si>
    <t>RARENDRA HAPSARI</t>
  </si>
  <si>
    <t>SABRINA HESTY UTAMI</t>
  </si>
  <si>
    <t>SAHLANA UMMU AZ ZAHRA</t>
  </si>
  <si>
    <t>SHYNTIA KININGGAR</t>
  </si>
  <si>
    <t>VERLIANA NAWA NINGRUM</t>
  </si>
  <si>
    <t>ZAHRA ARINDANI SETYANINGRUM</t>
  </si>
  <si>
    <t>ZUBENESCHAMALI GILANG HIKARI SETYONO</t>
  </si>
  <si>
    <t>Mapel Seni</t>
  </si>
  <si>
    <t>Kri</t>
  </si>
  <si>
    <t>Kelas : X-A</t>
  </si>
  <si>
    <t>Kelas : X-B</t>
  </si>
  <si>
    <t>Kelas : X-C</t>
  </si>
  <si>
    <t>Kelas : X-D</t>
  </si>
  <si>
    <t>Kelas : X-E</t>
  </si>
  <si>
    <t>Kelas : X-F</t>
  </si>
  <si>
    <t>Kelas : X-G</t>
  </si>
  <si>
    <t>AHMAD KHOIRUL HUDA ROSYADAN</t>
  </si>
  <si>
    <t>ALBERTUS DAVIN PRATAMA</t>
  </si>
  <si>
    <t>ALFIYYAH NUR FAUZIA</t>
  </si>
  <si>
    <t>ANGGUN KARUNIASARI</t>
  </si>
  <si>
    <t>AVRELYA HANIF ANJANI</t>
  </si>
  <si>
    <t>BELVA PUTRI ALEXA</t>
  </si>
  <si>
    <t>CHELCEA OCTAVIA</t>
  </si>
  <si>
    <t>EKA SURYANI RAHAYU</t>
  </si>
  <si>
    <t>FATIMA ZAHRA SOFYAN</t>
  </si>
  <si>
    <t>FAUZI AFIF IBRAHIM</t>
  </si>
  <si>
    <t>HELMA EVELYN ALMIRA</t>
  </si>
  <si>
    <t>HERLINDA PRAMESTI RAJENDRIYA</t>
  </si>
  <si>
    <t>ILHAM MUSTOFA</t>
  </si>
  <si>
    <t>KARINKA PUSPARANTI</t>
  </si>
  <si>
    <t>KAYLA NOVA HAMIDAH</t>
  </si>
  <si>
    <t>MAIZAHRI HUSNI LATIFAH</t>
  </si>
  <si>
    <t>MUHAMMAD ISNAN</t>
  </si>
  <si>
    <t>NADHIFA RACHMA MAGHFIRA</t>
  </si>
  <si>
    <t>NURYANA ADI KHOIRUL ADHA</t>
  </si>
  <si>
    <t>RADID SETYAWAN</t>
  </si>
  <si>
    <t>RETNO DETRYANI HM</t>
  </si>
  <si>
    <t>REVITA NOVELLIA IVA NINGTYAS</t>
  </si>
  <si>
    <t>SATRIO BINTANG PRASETYO</t>
  </si>
  <si>
    <t>SHERLIE MELISA PUTRI</t>
  </si>
  <si>
    <t>SYAFA PUTRI DEWIKU</t>
  </si>
  <si>
    <t>TASYA SALSABILA NUR FAUZIYYAH</t>
  </si>
  <si>
    <t>TH AIKO ZOLA ARIWIBAWA</t>
  </si>
  <si>
    <t>0098722268</t>
  </si>
  <si>
    <t>0097300072</t>
  </si>
  <si>
    <t>0081757509</t>
  </si>
  <si>
    <t>0089293035</t>
  </si>
  <si>
    <t>0095280585</t>
  </si>
  <si>
    <t>0086307949</t>
  </si>
  <si>
    <t>0085671014</t>
  </si>
  <si>
    <t>0083020646</t>
  </si>
  <si>
    <t>0077897295</t>
  </si>
  <si>
    <t>0083329841</t>
  </si>
  <si>
    <t>0091673944</t>
  </si>
  <si>
    <t>0082700913</t>
  </si>
  <si>
    <t>0089599951</t>
  </si>
  <si>
    <t>0092172243</t>
  </si>
  <si>
    <t>0095816319</t>
  </si>
  <si>
    <t>0098225764</t>
  </si>
  <si>
    <t>0098728686</t>
  </si>
  <si>
    <t>3096625488</t>
  </si>
  <si>
    <t>0089341679</t>
  </si>
  <si>
    <t>0083630382</t>
  </si>
  <si>
    <t>0081028731</t>
  </si>
  <si>
    <t>0089237242</t>
  </si>
  <si>
    <t>0094315367</t>
  </si>
  <si>
    <t>0087717050</t>
  </si>
  <si>
    <t>0093434104</t>
  </si>
  <si>
    <t>0087451649</t>
  </si>
  <si>
    <t>0083058488</t>
  </si>
  <si>
    <t>0097011132</t>
  </si>
  <si>
    <t>0082009059</t>
  </si>
  <si>
    <t>0092726892</t>
  </si>
  <si>
    <t>0082905121</t>
  </si>
  <si>
    <t>0096748279</t>
  </si>
  <si>
    <t>0086971043</t>
  </si>
  <si>
    <t>0084587633</t>
  </si>
  <si>
    <t>0098056711</t>
  </si>
  <si>
    <t>0099531940</t>
  </si>
  <si>
    <t>0082381605</t>
  </si>
  <si>
    <t>ANGGITA PRIHATINA</t>
  </si>
  <si>
    <t>0098153949</t>
  </si>
  <si>
    <t>ARDINA SYAFA PRAMESTI</t>
  </si>
  <si>
    <t>0097377350</t>
  </si>
  <si>
    <t>ARSHINTA RAYYA PUTRI PURBANTORO</t>
  </si>
  <si>
    <t>0097712081</t>
  </si>
  <si>
    <t>AULIA ARTIKA SARI</t>
  </si>
  <si>
    <t>0093352620</t>
  </si>
  <si>
    <t>AURELLIA KRISTIANTI</t>
  </si>
  <si>
    <t>0095807578</t>
  </si>
  <si>
    <t>AYRA MALIKA</t>
  </si>
  <si>
    <t>0092464693</t>
  </si>
  <si>
    <t>CHUSNIA PUTRI NURUL A'LAA</t>
  </si>
  <si>
    <t>0085207000</t>
  </si>
  <si>
    <t>DARIN KHUSNUL MAHFUDHAH</t>
  </si>
  <si>
    <t>0098569842</t>
  </si>
  <si>
    <t>ELISABETH CINTA CLARA PUSPITASARI</t>
  </si>
  <si>
    <t>0096942071</t>
  </si>
  <si>
    <t>ERLINDA AURA ATHALIA</t>
  </si>
  <si>
    <t>0092508012</t>
  </si>
  <si>
    <t>EURICA VALIYAN</t>
  </si>
  <si>
    <t>0098077127</t>
  </si>
  <si>
    <t>FAHRI ALI KHADAFI</t>
  </si>
  <si>
    <t>0082897240</t>
  </si>
  <si>
    <t>FARID AHMAD IKHSANI</t>
  </si>
  <si>
    <t>0086519442</t>
  </si>
  <si>
    <t>FAROH ARINAL KHUSNA</t>
  </si>
  <si>
    <t>0087895162</t>
  </si>
  <si>
    <t>HAFIS AMERALDI FIRDAUS</t>
  </si>
  <si>
    <t>0088217731</t>
  </si>
  <si>
    <t>HASNA GITA SAFITRI</t>
  </si>
  <si>
    <t>0084056843</t>
  </si>
  <si>
    <t>HASYA HAYATI</t>
  </si>
  <si>
    <t>0094472124</t>
  </si>
  <si>
    <t>HIMMATULL KARIMAH PUTRI PANGESTI</t>
  </si>
  <si>
    <t>0084933722</t>
  </si>
  <si>
    <t>LUTFIANA MAYSYAROH</t>
  </si>
  <si>
    <t>0085045147</t>
  </si>
  <si>
    <t>MALIHA RIESTAKU IZZATI</t>
  </si>
  <si>
    <t>0089789478</t>
  </si>
  <si>
    <t>MUHAMAD SHOBRUN JAMIL</t>
  </si>
  <si>
    <t>0098745282</t>
  </si>
  <si>
    <t>MUHAMMAD GHOZY AL KAUTSAR</t>
  </si>
  <si>
    <t>0088821735</t>
  </si>
  <si>
    <t>MUHAMMAD IQBAL IHSAN HANIF ABDILLAH</t>
  </si>
  <si>
    <t>0087922598</t>
  </si>
  <si>
    <t>MUTIARA ASHLIHATI FAIZATUS SABILA</t>
  </si>
  <si>
    <t>0093046356</t>
  </si>
  <si>
    <t>NASYWA ANDINI ZULFA MUSTOFA</t>
  </si>
  <si>
    <t>0084856951</t>
  </si>
  <si>
    <t>OVAN DAFFA RAQILLA</t>
  </si>
  <si>
    <t>0092197905</t>
  </si>
  <si>
    <t>RADIYAN KRISHNA JATI</t>
  </si>
  <si>
    <t>0087933680</t>
  </si>
  <si>
    <t>RAHMAT DWI PRASETYO</t>
  </si>
  <si>
    <t>0093564650</t>
  </si>
  <si>
    <t>0094766936</t>
  </si>
  <si>
    <t>RESTU BINTAR ARISTYA</t>
  </si>
  <si>
    <t>0099802160</t>
  </si>
  <si>
    <t>REYHANA NASHIROH</t>
  </si>
  <si>
    <t>0088549989</t>
  </si>
  <si>
    <t>SALWA KIRANI RASTRATAMA MITRA</t>
  </si>
  <si>
    <t>0084393956</t>
  </si>
  <si>
    <t>SARRAH PALLIN SEPTHERA DHAGGISTANY</t>
  </si>
  <si>
    <t>0084484457</t>
  </si>
  <si>
    <t>SASKARA SASIKIRANA ANTIKA</t>
  </si>
  <si>
    <t>0091585000</t>
  </si>
  <si>
    <t>SYIFA AMELIAPUTRI</t>
  </si>
  <si>
    <t>0091457379</t>
  </si>
  <si>
    <t>ZHAFIRA ILYAKHALILA FATIHANNAFI</t>
  </si>
  <si>
    <t>0099410348</t>
  </si>
  <si>
    <t>ABEL TRI ANGGRAENI</t>
  </si>
  <si>
    <t>0098198114</t>
  </si>
  <si>
    <t>AFIANA LUTFIA PERMATASARI</t>
  </si>
  <si>
    <t>0098568856</t>
  </si>
  <si>
    <t>AHMAD BAGUS IHSANUDIN</t>
  </si>
  <si>
    <t>0091399676</t>
  </si>
  <si>
    <t>0084352093</t>
  </si>
  <si>
    <t>ALFA'I RISMA</t>
  </si>
  <si>
    <t>0091830640</t>
  </si>
  <si>
    <t>ALFIRA NINDYA KHOIRUNNISA</t>
  </si>
  <si>
    <t>0083820217</t>
  </si>
  <si>
    <t>ALIFTA OKTAVIANA</t>
  </si>
  <si>
    <t>0094403171</t>
  </si>
  <si>
    <t>0088359570</t>
  </si>
  <si>
    <t>AULIA NINDY AGUSTIN</t>
  </si>
  <si>
    <t>0098858698</t>
  </si>
  <si>
    <t>0082567454</t>
  </si>
  <si>
    <t>BREVI ANASAY BARGIYAN PUTRI</t>
  </si>
  <si>
    <t>0091869678</t>
  </si>
  <si>
    <t>CHELSEA NASILA PUTRI</t>
  </si>
  <si>
    <t>0083530799</t>
  </si>
  <si>
    <t>DEVINA HANUM</t>
  </si>
  <si>
    <t>0087515644</t>
  </si>
  <si>
    <t>DHIVA CANDRY ARIZCAPUTRI</t>
  </si>
  <si>
    <t>0087378031</t>
  </si>
  <si>
    <t>FAUZI ZAILANI</t>
  </si>
  <si>
    <t>0089665449</t>
  </si>
  <si>
    <t>GALUH PUSPANINGTYAS RAKHASIWI</t>
  </si>
  <si>
    <t>0086823248</t>
  </si>
  <si>
    <t>GHIFFARI MUTHI'AH AZZAHRA</t>
  </si>
  <si>
    <t>0082817489</t>
  </si>
  <si>
    <t>0097932034</t>
  </si>
  <si>
    <t>0081067645</t>
  </si>
  <si>
    <t>INTAN AYU ARTANTY</t>
  </si>
  <si>
    <t>0085098142</t>
  </si>
  <si>
    <t>KHEILA PUTRI RAMADHANI</t>
  </si>
  <si>
    <t>0082342242</t>
  </si>
  <si>
    <t>0099760862</t>
  </si>
  <si>
    <t>LUK LUK DUROH NAVISA</t>
  </si>
  <si>
    <t>0095429721</t>
  </si>
  <si>
    <t>MIFTACHUL HANA</t>
  </si>
  <si>
    <t>0086754507</t>
  </si>
  <si>
    <t>NARA NURSHYFA OKTAVIA</t>
  </si>
  <si>
    <t>0082267566</t>
  </si>
  <si>
    <t>NASYWA SYIFA SALSABILA</t>
  </si>
  <si>
    <t>0084990045</t>
  </si>
  <si>
    <t>NEVA SALSA BILLA</t>
  </si>
  <si>
    <t>0082436473</t>
  </si>
  <si>
    <t>RAFFI</t>
  </si>
  <si>
    <t>0097339903</t>
  </si>
  <si>
    <t>RR. ANINDYA FATIKHAH SALSABILA PUTRI</t>
  </si>
  <si>
    <t>0087101397</t>
  </si>
  <si>
    <t>0086433973</t>
  </si>
  <si>
    <t>0089087943</t>
  </si>
  <si>
    <t>SHAFIRA CHIKA PUNGGA DEWI</t>
  </si>
  <si>
    <t>0086673879</t>
  </si>
  <si>
    <t>SOFIA KHOIRUNNISA RAHMADHANI</t>
  </si>
  <si>
    <t>0082270035</t>
  </si>
  <si>
    <t>SZAHRIN ANANTIA</t>
  </si>
  <si>
    <t>0089254262</t>
  </si>
  <si>
    <t>0083546285</t>
  </si>
  <si>
    <t>YULIA REGITA CAHYANI</t>
  </si>
  <si>
    <t>0087355557</t>
  </si>
  <si>
    <t>AFIFAH RISYDA ARZANA</t>
  </si>
  <si>
    <t>0092007882</t>
  </si>
  <si>
    <t>AGUSTIN WULAN PANGESTU</t>
  </si>
  <si>
    <t>0098129149</t>
  </si>
  <si>
    <t>AMIRA NEYSA AINUN MAHYA</t>
  </si>
  <si>
    <t>0085298764</t>
  </si>
  <si>
    <t>ANINDYA WINANTHI PUTRI</t>
  </si>
  <si>
    <t>0097121795</t>
  </si>
  <si>
    <t>0096666816</t>
  </si>
  <si>
    <t>AYUSKA AYUDIAH</t>
  </si>
  <si>
    <t>0096975186</t>
  </si>
  <si>
    <t>BELLA RATRI PRADIPTA</t>
  </si>
  <si>
    <t>0099600362</t>
  </si>
  <si>
    <t>BESSTYAN HASTA PRASETYA</t>
  </si>
  <si>
    <t>0095462469</t>
  </si>
  <si>
    <t>BILQIS INDIANA AGUNG</t>
  </si>
  <si>
    <t>0081090506</t>
  </si>
  <si>
    <t>CALLISTA AMEILIA ROSANTI</t>
  </si>
  <si>
    <t>0085597366</t>
  </si>
  <si>
    <t>CLAUDIA KEZIA CHERILLIA</t>
  </si>
  <si>
    <t>0093044287</t>
  </si>
  <si>
    <t>DAVINA WIDYA LESTARI</t>
  </si>
  <si>
    <t>0083050670</t>
  </si>
  <si>
    <t>DESTINA DEWI SUBEKTI</t>
  </si>
  <si>
    <t>0095365435</t>
  </si>
  <si>
    <t>DINDA CHRISTIANI SUTRISNA</t>
  </si>
  <si>
    <t>0092669908</t>
  </si>
  <si>
    <t>ESTI KUSUMAWARDHANI</t>
  </si>
  <si>
    <t>0086395860</t>
  </si>
  <si>
    <t>FINZA OKTANIA PRAMESTI</t>
  </si>
  <si>
    <t>0081811441</t>
  </si>
  <si>
    <t>FRILIAN HERNANDA</t>
  </si>
  <si>
    <t>0081866653</t>
  </si>
  <si>
    <t>GIOVANNI GALEHBUMI SATRIO WIBOWO</t>
  </si>
  <si>
    <t>0085997496</t>
  </si>
  <si>
    <t>HANINDYA PUTRI YANUARSAH</t>
  </si>
  <si>
    <t>0096923332</t>
  </si>
  <si>
    <t>HERMAN YOSEF DHARMA YUWONO</t>
  </si>
  <si>
    <t>0084612946</t>
  </si>
  <si>
    <t>IGNATIUS DAMAIAN SATRIA WIBAWA LUSANTANA</t>
  </si>
  <si>
    <t>0088591388</t>
  </si>
  <si>
    <t>IKA NURHIDAYATI</t>
  </si>
  <si>
    <t>0097249633</t>
  </si>
  <si>
    <t>IMANUEL BISMA PRASETYA</t>
  </si>
  <si>
    <t>0089170054</t>
  </si>
  <si>
    <t>IRSALINA LIYANA AYU NAZIFA</t>
  </si>
  <si>
    <t>0086349839</t>
  </si>
  <si>
    <t>JENOAH SHEPTIAN NUELLA SUMARJONO</t>
  </si>
  <si>
    <t>0086798758</t>
  </si>
  <si>
    <t>KEISHA ALEA PRATISTA</t>
  </si>
  <si>
    <t>0091347404</t>
  </si>
  <si>
    <t>KEIZA RIZKI NUR ALFALIZA</t>
  </si>
  <si>
    <t>0093653121</t>
  </si>
  <si>
    <t>KINAR DYAZ SHERLINTANG</t>
  </si>
  <si>
    <t>0092827312</t>
  </si>
  <si>
    <t>KIRANA ZAHWA AQILA</t>
  </si>
  <si>
    <t>0085795871</t>
  </si>
  <si>
    <t>KRISTOFORUS BIMO DHARMA PUTRA</t>
  </si>
  <si>
    <t>0094951734</t>
  </si>
  <si>
    <t>0098906643</t>
  </si>
  <si>
    <t>RIDAN DAGUSTINA</t>
  </si>
  <si>
    <t>0092365233</t>
  </si>
  <si>
    <t>SHAFIRA AULIANI WIBOWO</t>
  </si>
  <si>
    <t>0089118611</t>
  </si>
  <si>
    <t>SHELFIA AGUSTIN KURNIAWATI</t>
  </si>
  <si>
    <t>0084487572</t>
  </si>
  <si>
    <t>SYIFA CERRY NUR FATONAH</t>
  </si>
  <si>
    <t>0103715683</t>
  </si>
  <si>
    <t>VALLERY ANINDYA MAHARANI</t>
  </si>
  <si>
    <t>3081286693</t>
  </si>
  <si>
    <t>ADEF HAAFIDH BAHRONI</t>
  </si>
  <si>
    <t>0092379766</t>
  </si>
  <si>
    <t>ADYLA PUSPITANINGRUM</t>
  </si>
  <si>
    <t>0089261588</t>
  </si>
  <si>
    <t>AGHNA KHAYRU RINJANI</t>
  </si>
  <si>
    <t>0086635052</t>
  </si>
  <si>
    <t>AGUSTIN PRABOWO BUDIHARJO</t>
  </si>
  <si>
    <t>0085219903</t>
  </si>
  <si>
    <t>AHMAD MUFID FAUZAN</t>
  </si>
  <si>
    <t>0084463999</t>
  </si>
  <si>
    <t>0099449687</t>
  </si>
  <si>
    <t>AISYAH ANINDITA PUTRI</t>
  </si>
  <si>
    <t>0091892748</t>
  </si>
  <si>
    <t>AKBAR RAFFELINO HAKIM</t>
  </si>
  <si>
    <t>3096928666</t>
  </si>
  <si>
    <t>AKHBAR WIJAYA</t>
  </si>
  <si>
    <t>0097655949</t>
  </si>
  <si>
    <t>ALIFAH ANINDITA FIBAM DANISWARA</t>
  </si>
  <si>
    <t>0081918519</t>
  </si>
  <si>
    <t>ANDIKA BAGOES PRASTYO</t>
  </si>
  <si>
    <t>0083822104</t>
  </si>
  <si>
    <t>ANGGIE FEBRIANA DWI HANDONO</t>
  </si>
  <si>
    <t>0098988112</t>
  </si>
  <si>
    <t>ANINDITHA KHANSA RAFANI</t>
  </si>
  <si>
    <t>0081293359</t>
  </si>
  <si>
    <t>AULIA ROHIMAH</t>
  </si>
  <si>
    <t>0094015764</t>
  </si>
  <si>
    <t>0097006768</t>
  </si>
  <si>
    <t>DENISE ZULEIKA</t>
  </si>
  <si>
    <t>0087507704</t>
  </si>
  <si>
    <t>DINA WULAN SARI</t>
  </si>
  <si>
    <t>0083865802</t>
  </si>
  <si>
    <t>DINDA SOLIKHANA</t>
  </si>
  <si>
    <t>0088257548</t>
  </si>
  <si>
    <t>DOROTEA SELLA YONATA</t>
  </si>
  <si>
    <t>0089289321</t>
  </si>
  <si>
    <t>ELVIRA INTAN KHOIRI</t>
  </si>
  <si>
    <t>0083500189</t>
  </si>
  <si>
    <t>FAUZAN JATI WICAKSONO</t>
  </si>
  <si>
    <t>0097991326</t>
  </si>
  <si>
    <t>IN ZAKI SETIA BUDI</t>
  </si>
  <si>
    <t>0086691991</t>
  </si>
  <si>
    <t>INDIRA PRAJNA PARAMITHA</t>
  </si>
  <si>
    <t>0081773326</t>
  </si>
  <si>
    <t>ISNA ARIFATUL KHASANAH</t>
  </si>
  <si>
    <t>0092544069</t>
  </si>
  <si>
    <t>KALILA PUTRI DEMOKRATIA</t>
  </si>
  <si>
    <t>0087778883</t>
  </si>
  <si>
    <t>KEISHA NATHANIA KINASIH</t>
  </si>
  <si>
    <t>0099028070</t>
  </si>
  <si>
    <t>MAHENING ARYA ABILOWO</t>
  </si>
  <si>
    <t>0098777555</t>
  </si>
  <si>
    <t>MUFITHA KHAIRINISA</t>
  </si>
  <si>
    <t>0082194358</t>
  </si>
  <si>
    <t>NABILA AULIA</t>
  </si>
  <si>
    <t>0088768840</t>
  </si>
  <si>
    <t>NOVENTA BERKAH PURNAWAN</t>
  </si>
  <si>
    <t>0086794845</t>
  </si>
  <si>
    <t>OKTAVIRA DWI ARTANTI</t>
  </si>
  <si>
    <t>0083197771</t>
  </si>
  <si>
    <t>RHANIA NABILLA DIPHA</t>
  </si>
  <si>
    <t>0082078526</t>
  </si>
  <si>
    <t>RIZKISYA TANIA RAHMADIYANTI</t>
  </si>
  <si>
    <t>0087954285</t>
  </si>
  <si>
    <t>SALWA CALYA TITIS SUHERNO</t>
  </si>
  <si>
    <t>0093630573</t>
  </si>
  <si>
    <t>TALITHA SYAHDA RACHMANIA</t>
  </si>
  <si>
    <t>0093961444</t>
  </si>
  <si>
    <t>ZULAIKHA ASYAHIDATUL ZAHRA</t>
  </si>
  <si>
    <t>0083796106</t>
  </si>
  <si>
    <t>ADNAN HUMAM ABDUR RO'UF</t>
  </si>
  <si>
    <t>0088541935</t>
  </si>
  <si>
    <t>AFIF JUNIOR</t>
  </si>
  <si>
    <t>0091112206</t>
  </si>
  <si>
    <t>AIYLA NABAWIA WIDAYAT</t>
  </si>
  <si>
    <t>0088858237</t>
  </si>
  <si>
    <t>ALLAM MUMTAZ HASTAMA</t>
  </si>
  <si>
    <t>0098458533</t>
  </si>
  <si>
    <t>AMANDA PUTRI ZAURA</t>
  </si>
  <si>
    <t>0088422812</t>
  </si>
  <si>
    <t>ANISA NUR RAHMADANI</t>
  </si>
  <si>
    <t>0082803103</t>
  </si>
  <si>
    <t>0083477945</t>
  </si>
  <si>
    <t>CHELZA QUEEN LATIFANINGRUM</t>
  </si>
  <si>
    <t>0085894307</t>
  </si>
  <si>
    <t>DEVINA AFRIYANI</t>
  </si>
  <si>
    <t>0097437287</t>
  </si>
  <si>
    <t>0085844721</t>
  </si>
  <si>
    <t>EIGART PREMASWARA</t>
  </si>
  <si>
    <t>0086342826</t>
  </si>
  <si>
    <t>FAIZ ALFARISI MUNIF</t>
  </si>
  <si>
    <t>0094014483</t>
  </si>
  <si>
    <t>GANIS TITIS ASANDY</t>
  </si>
  <si>
    <t>0088357202</t>
  </si>
  <si>
    <t>HAFSHAH NABILA ULFA</t>
  </si>
  <si>
    <t>0099647722</t>
  </si>
  <si>
    <t>IKHWAN HASANY</t>
  </si>
  <si>
    <t>0094343109</t>
  </si>
  <si>
    <t>IZZAN NINO FABIAN</t>
  </si>
  <si>
    <t>0087544542</t>
  </si>
  <si>
    <t>JULIANO RADIKUA ELLO</t>
  </si>
  <si>
    <t>0092310681</t>
  </si>
  <si>
    <t>KEYVIN MUTTAQINA MAFAZA</t>
  </si>
  <si>
    <t>0083914197</t>
  </si>
  <si>
    <t>KHALILA FAHIRA KIRANI</t>
  </si>
  <si>
    <t>0081566457</t>
  </si>
  <si>
    <t>KRISNA ADDINTA PRADANA</t>
  </si>
  <si>
    <t>0081566285</t>
  </si>
  <si>
    <t>LINDA NURHAYATI</t>
  </si>
  <si>
    <t>0087085893</t>
  </si>
  <si>
    <t>MUHAMMAD IHSAN MAULANA HAKIM</t>
  </si>
  <si>
    <t>0081028307</t>
  </si>
  <si>
    <t>0085577020</t>
  </si>
  <si>
    <t>NAFIRSTA KINAN WIBOWO</t>
  </si>
  <si>
    <t>0085838444</t>
  </si>
  <si>
    <t>NORIKO SAFA AURA</t>
  </si>
  <si>
    <t>0096801383</t>
  </si>
  <si>
    <t>NURUL AULIA SRIWANTORO</t>
  </si>
  <si>
    <t>0071983757</t>
  </si>
  <si>
    <t>PINTA DIKZA VANDRIA</t>
  </si>
  <si>
    <t>0097747781</t>
  </si>
  <si>
    <t>RADITTYA KHOLIF ZAKY</t>
  </si>
  <si>
    <t>0088248181</t>
  </si>
  <si>
    <t>RAIHAN ABHINAYA NURCAHYO</t>
  </si>
  <si>
    <t>0083263386</t>
  </si>
  <si>
    <t>REZA AHMAD FAUZAN</t>
  </si>
  <si>
    <t>0088385034</t>
  </si>
  <si>
    <t>RUSLIANA PUTRI SUPRIHATIN</t>
  </si>
  <si>
    <t>0086451462</t>
  </si>
  <si>
    <t>SANTIKA MELANI PUTRI</t>
  </si>
  <si>
    <t>3087255521</t>
  </si>
  <si>
    <t>SHINTA PUTRI PURBANINGRUM</t>
  </si>
  <si>
    <t>0093425115</t>
  </si>
  <si>
    <t>SILVIA ANGGRAENI</t>
  </si>
  <si>
    <t>0096468747</t>
  </si>
  <si>
    <t>VINDHE LAIKE</t>
  </si>
  <si>
    <t>0083060631</t>
  </si>
  <si>
    <t>0084131778</t>
  </si>
  <si>
    <t>ADDATU FIDDIN BARUNA ADJI</t>
  </si>
  <si>
    <t>0085312053</t>
  </si>
  <si>
    <t>0087255094</t>
  </si>
  <si>
    <t>ALIKA FAUZIA UNTORO</t>
  </si>
  <si>
    <t>0082375980</t>
  </si>
  <si>
    <t>ANGLILA ZAKKA KANNAKA</t>
  </si>
  <si>
    <t>0074800959</t>
  </si>
  <si>
    <t>AURELLYA ALBANI LARASATI</t>
  </si>
  <si>
    <t>0089061852</t>
  </si>
  <si>
    <t>BRISNATA ZILFIONA</t>
  </si>
  <si>
    <t>0092979633</t>
  </si>
  <si>
    <t>CORNELIUS AGTHA TRYSTAN ISAIAS</t>
  </si>
  <si>
    <t>0084640072</t>
  </si>
  <si>
    <t>CUT SITI CHADA CHADIJAH</t>
  </si>
  <si>
    <t>0081517143</t>
  </si>
  <si>
    <t>ERICK JONATHAN AYAL</t>
  </si>
  <si>
    <t>0098109465</t>
  </si>
  <si>
    <t>0082819873</t>
  </si>
  <si>
    <t>0097938337</t>
  </si>
  <si>
    <t>FEBY NUR NAFISHA</t>
  </si>
  <si>
    <t>3091178386</t>
  </si>
  <si>
    <t>3080798753</t>
  </si>
  <si>
    <t>HAFSHAH</t>
  </si>
  <si>
    <t>0098111474</t>
  </si>
  <si>
    <t>JONATHAN BILLY ARDHITAMA</t>
  </si>
  <si>
    <t>0084509075</t>
  </si>
  <si>
    <t>JUNIOR AISCHA AL-AFGANI</t>
  </si>
  <si>
    <t>0085174453</t>
  </si>
  <si>
    <t>KANA MELIYANA AGUSTIN</t>
  </si>
  <si>
    <t>0084526123</t>
  </si>
  <si>
    <t>KATON PUTRA ARDIAWAN</t>
  </si>
  <si>
    <t>0087011998</t>
  </si>
  <si>
    <t>KEZIA FALISHA EFFENDI</t>
  </si>
  <si>
    <t>0086000918</t>
  </si>
  <si>
    <t>KINANTI</t>
  </si>
  <si>
    <t>0084935482</t>
  </si>
  <si>
    <t>MICHAEL GOENAWAN SIDAURUK</t>
  </si>
  <si>
    <t>3094805188</t>
  </si>
  <si>
    <t>MUHAMAD RAMA DINEZA</t>
  </si>
  <si>
    <t>0088414357</t>
  </si>
  <si>
    <t>NADIA GISELLA PRATIWI</t>
  </si>
  <si>
    <t>0094268634</t>
  </si>
  <si>
    <t>NAUFAL AHMAD ABDUL DZAKWAN</t>
  </si>
  <si>
    <t>0086143215</t>
  </si>
  <si>
    <t>0086054555</t>
  </si>
  <si>
    <t>RAFFI AFNAN NOVANGI</t>
  </si>
  <si>
    <t>0089803769</t>
  </si>
  <si>
    <t>RAFIF SURYA PRATAMA</t>
  </si>
  <si>
    <t>0097115294</t>
  </si>
  <si>
    <t>0078124998</t>
  </si>
  <si>
    <t>RASYA WAHYU KARTADIANA</t>
  </si>
  <si>
    <t>0087451222</t>
  </si>
  <si>
    <t>RAYHAN ARDYA WICAKSANA</t>
  </si>
  <si>
    <t>0096658298</t>
  </si>
  <si>
    <t>SANIA FATHINAH ASY-SYIFA</t>
  </si>
  <si>
    <t>0086408356</t>
  </si>
  <si>
    <t>SATYA PRIMADARMA WISESA</t>
  </si>
  <si>
    <t>XI-A</t>
  </si>
  <si>
    <t>XI-B</t>
  </si>
  <si>
    <t>XI-C</t>
  </si>
  <si>
    <t>XI-D</t>
  </si>
  <si>
    <t>XI-E</t>
  </si>
  <si>
    <t>XI-F</t>
  </si>
  <si>
    <t>XI-G</t>
  </si>
  <si>
    <t>XII-A</t>
  </si>
  <si>
    <t>XII-B</t>
  </si>
  <si>
    <t>XII-D</t>
  </si>
  <si>
    <t>XII-E</t>
  </si>
  <si>
    <t>XII-F</t>
  </si>
  <si>
    <t>XII-C</t>
  </si>
  <si>
    <t>XII-G</t>
  </si>
  <si>
    <t>X-A</t>
  </si>
  <si>
    <t>X-B</t>
  </si>
  <si>
    <t>X-C</t>
  </si>
  <si>
    <t>X-D</t>
  </si>
  <si>
    <t>X-E</t>
  </si>
  <si>
    <t>X-F</t>
  </si>
  <si>
    <t>X-G</t>
  </si>
  <si>
    <t>0095398898</t>
  </si>
  <si>
    <t>ADIB MIFTAHUL HUDA</t>
  </si>
  <si>
    <t>0097056132</t>
  </si>
  <si>
    <t>ALBINA KHANZA RAMADHANIY</t>
  </si>
  <si>
    <t>0096517295</t>
  </si>
  <si>
    <t>AMADEO PUTRANA ADHILAN</t>
  </si>
  <si>
    <t>0096274191</t>
  </si>
  <si>
    <t>ANGGITA FITRI CAHYA RAHMADANI</t>
  </si>
  <si>
    <t>0104863682</t>
  </si>
  <si>
    <t>ANIES PRAMUDYA YUNISSA</t>
  </si>
  <si>
    <t>0108510437</t>
  </si>
  <si>
    <t>ATHALIA ZASKI ELVINA HANANDOYO</t>
  </si>
  <si>
    <t>0093365514</t>
  </si>
  <si>
    <t>DARIEL ANGGA FADRIANZA</t>
  </si>
  <si>
    <t>0095835849</t>
  </si>
  <si>
    <t>DESNIKA PUTRI ANDINI</t>
  </si>
  <si>
    <t>0096405345</t>
  </si>
  <si>
    <t>DHEDIA ANGGUR RARAS KANINDITA</t>
  </si>
  <si>
    <t>0103203346</t>
  </si>
  <si>
    <t>ELLIFELE ZAYIN ZEBAOTHA</t>
  </si>
  <si>
    <t>0097924545</t>
  </si>
  <si>
    <t>ELLYZABETH KRISTIN ARIYANI</t>
  </si>
  <si>
    <t>0102712042</t>
  </si>
  <si>
    <t>FATHIH ARKAAN SALIM</t>
  </si>
  <si>
    <t>0093250361</t>
  </si>
  <si>
    <t>FIKA MARLIDA</t>
  </si>
  <si>
    <t>0105764137</t>
  </si>
  <si>
    <t>HANJUNG SANSAKA DAMAR LUMAKSO HANTAR GOESTO</t>
  </si>
  <si>
    <t>0097112995</t>
  </si>
  <si>
    <t>KALYCA KALYA SAKHI BUDIYANTO</t>
  </si>
  <si>
    <t>0109798978</t>
  </si>
  <si>
    <t>KARENINA EKA PUTRI</t>
  </si>
  <si>
    <t>0092409045</t>
  </si>
  <si>
    <t>KEYRA SABRIA SALSABIL</t>
  </si>
  <si>
    <t>0104144490</t>
  </si>
  <si>
    <t>KHOIRUN ISHAQ</t>
  </si>
  <si>
    <t>0095200830</t>
  </si>
  <si>
    <t>MUTHIA SHAFA DANISHA</t>
  </si>
  <si>
    <t>0096559950</t>
  </si>
  <si>
    <t>NABILA ANGGRAINI WIJAYA</t>
  </si>
  <si>
    <t>0104811523</t>
  </si>
  <si>
    <t>NANDA AYUDYA LARASATI</t>
  </si>
  <si>
    <t>0095348959</t>
  </si>
  <si>
    <t>NARESWA CETTA ZEINDO</t>
  </si>
  <si>
    <t>0099935993</t>
  </si>
  <si>
    <t>NATHANAEL ERGA SAMEKTA</t>
  </si>
  <si>
    <t>0115948437</t>
  </si>
  <si>
    <t>NOBELTA ADVENSIA PUTRI SUNARNO</t>
  </si>
  <si>
    <t>0101637145</t>
  </si>
  <si>
    <t>PAREL HASUDUNGAN SITANGGANG</t>
  </si>
  <si>
    <t>0101687707</t>
  </si>
  <si>
    <t>PELANGI ANGELIA PRATISTA</t>
  </si>
  <si>
    <t>0101161063</t>
  </si>
  <si>
    <t>RASYID AHMAD FIRDAUS</t>
  </si>
  <si>
    <t>0104414969</t>
  </si>
  <si>
    <t>REYDHIA NIRINZHA ILYAS</t>
  </si>
  <si>
    <t>0103929064</t>
  </si>
  <si>
    <t>RINONCE UKARA PARINGAN GUSTI KUMOROJATI</t>
  </si>
  <si>
    <t>0097394504</t>
  </si>
  <si>
    <t>SABRINA CINCIN WIJAYANINGRUM</t>
  </si>
  <si>
    <t>0105518719</t>
  </si>
  <si>
    <t>SHAFA AULIA AYUDYA</t>
  </si>
  <si>
    <t>0104799265</t>
  </si>
  <si>
    <t>VALENTINA STEVA ARIENA</t>
  </si>
  <si>
    <t>3106110456</t>
  </si>
  <si>
    <t>VINA MEI KALISA PUTRI</t>
  </si>
  <si>
    <t>0096431420</t>
  </si>
  <si>
    <t>VINCA AYU WIDYAWATI</t>
  </si>
  <si>
    <t>0096130236</t>
  </si>
  <si>
    <t>ZEFANYA ADIKA MARENDA</t>
  </si>
  <si>
    <t>0095417198</t>
  </si>
  <si>
    <t>ABIMANYU WIJAYA</t>
  </si>
  <si>
    <t>0099659265</t>
  </si>
  <si>
    <t>AISA IFFATUSSOLIHA</t>
  </si>
  <si>
    <t>3106674881</t>
  </si>
  <si>
    <t>AL-KAUSAR PAMUNGKAS</t>
  </si>
  <si>
    <t>0093265441</t>
  </si>
  <si>
    <t>ANDINA KALISTA RAHMADANI</t>
  </si>
  <si>
    <t>0103601998</t>
  </si>
  <si>
    <t>ANGGI YULIA PRATIWI</t>
  </si>
  <si>
    <t>0103783708</t>
  </si>
  <si>
    <t>BRIGITA RENNITA SARI</t>
  </si>
  <si>
    <t>0102529485</t>
  </si>
  <si>
    <t>CHYNTIARA AUFAA YUNITA</t>
  </si>
  <si>
    <t>0096549270</t>
  </si>
  <si>
    <t>DIONISIUS LUHUNG ANANTA</t>
  </si>
  <si>
    <t>0092346630</t>
  </si>
  <si>
    <t>ELFREDA RAHMA TALITHA</t>
  </si>
  <si>
    <t>0091795989</t>
  </si>
  <si>
    <t>FAVIAN FADIL WIHATMOKO</t>
  </si>
  <si>
    <t>0097544915</t>
  </si>
  <si>
    <t>FREDERICO GOLDY SALVADORE</t>
  </si>
  <si>
    <t>0098319292</t>
  </si>
  <si>
    <t>GALEN ZETA OLABEL ARDIMAN</t>
  </si>
  <si>
    <t>0114281175</t>
  </si>
  <si>
    <t>GILARDO BAGAS GUMARA</t>
  </si>
  <si>
    <t>0108463583</t>
  </si>
  <si>
    <t>LIONEL AVIAN NATHAN</t>
  </si>
  <si>
    <t>0096518219</t>
  </si>
  <si>
    <t>LUSIA ABELIA WIDIANANDA PUTRI</t>
  </si>
  <si>
    <t>0105809554</t>
  </si>
  <si>
    <t>MALEKA ZETA ADHIFKA KEN</t>
  </si>
  <si>
    <t>0094639685</t>
  </si>
  <si>
    <t>MARIA KARMELIA KRISTIANINGRUM</t>
  </si>
  <si>
    <t>0096197529</t>
  </si>
  <si>
    <t>MAYLIA BIDWIN NURISMA</t>
  </si>
  <si>
    <t>0096918719</t>
  </si>
  <si>
    <t>MEYLANNI AYU SUKMANINGSIH</t>
  </si>
  <si>
    <t>0094387199</t>
  </si>
  <si>
    <t>MUHAMMAD 'AZAM FADHILAH</t>
  </si>
  <si>
    <t>0099697501</t>
  </si>
  <si>
    <t>NABILLA AYU NURLITA</t>
  </si>
  <si>
    <t>0095184674</t>
  </si>
  <si>
    <t>NADIA TRI WIDATI</t>
  </si>
  <si>
    <t>0106128267</t>
  </si>
  <si>
    <t>NADINE KANAYA AISHA</t>
  </si>
  <si>
    <t>0096453968</t>
  </si>
  <si>
    <t>NALA SYAFI AUFA</t>
  </si>
  <si>
    <t>0099081824</t>
  </si>
  <si>
    <t>NEORA LAUTIFA FAHIRANA</t>
  </si>
  <si>
    <t>0084641197</t>
  </si>
  <si>
    <t>NUR AHLINA PUTRI RAMADHANI</t>
  </si>
  <si>
    <t>3091791077</t>
  </si>
  <si>
    <t>QUINZA SOFI NOVA</t>
  </si>
  <si>
    <t>0105998463</t>
  </si>
  <si>
    <t>REDA RAMBU WOHANGARA</t>
  </si>
  <si>
    <t>0092415248</t>
  </si>
  <si>
    <t>RICHO JULIAN</t>
  </si>
  <si>
    <t>0092810495</t>
  </si>
  <si>
    <t>TALITHA LUTHFI NUR HIDAYAH</t>
  </si>
  <si>
    <t>0103698670</t>
  </si>
  <si>
    <t>VAMPI</t>
  </si>
  <si>
    <t>0096970266</t>
  </si>
  <si>
    <t>VELLYCITA LARASATI ALODIA PRAMESWARI</t>
  </si>
  <si>
    <t>0097282525</t>
  </si>
  <si>
    <t>WIDYA AYU BINTARA</t>
  </si>
  <si>
    <t>0092113490</t>
  </si>
  <si>
    <t>YANITRA GINAYA RESPATI</t>
  </si>
  <si>
    <t>0101862068</t>
  </si>
  <si>
    <t>ZEFANYA EARLY PUTRI JOANSA</t>
  </si>
  <si>
    <t>0092539103</t>
  </si>
  <si>
    <t>ZULFIKA NURFACHMI</t>
  </si>
  <si>
    <t>0093164669</t>
  </si>
  <si>
    <t>AFALA KARLA MAJID</t>
  </si>
  <si>
    <t>0093389364</t>
  </si>
  <si>
    <t>AHMAD HIBBAN CAHAYA SURGA</t>
  </si>
  <si>
    <t>3101010080</t>
  </si>
  <si>
    <t>AIRA NAUREEN SYIFA HAFIZHA</t>
  </si>
  <si>
    <t>0101954540</t>
  </si>
  <si>
    <t>ALIFA SIWI NURIYATUN</t>
  </si>
  <si>
    <t>3097706249</t>
  </si>
  <si>
    <t>ALMYRA AR RIVIA OKTABERLIAN</t>
  </si>
  <si>
    <t>0093093783</t>
  </si>
  <si>
    <t>ANDINA WULAN RAHMADANI</t>
  </si>
  <si>
    <t>0098047853</t>
  </si>
  <si>
    <t>AULIA RAMADHANI</t>
  </si>
  <si>
    <t>0094471635</t>
  </si>
  <si>
    <t>BALINDRA HAFIZ JAGADDHITA</t>
  </si>
  <si>
    <t>0098635582</t>
  </si>
  <si>
    <t>CAESAR ACHMAD KAUTSAR</t>
  </si>
  <si>
    <t>0109980996</t>
  </si>
  <si>
    <t>CALLISTA DARIN NABIILAH</t>
  </si>
  <si>
    <t>0096921958</t>
  </si>
  <si>
    <t>CARNELIAN ADYUTA ZHAFRAN</t>
  </si>
  <si>
    <t>0098446995</t>
  </si>
  <si>
    <t>CYNTHIA RAHMAWATI</t>
  </si>
  <si>
    <t>0091139443</t>
  </si>
  <si>
    <t>DAFINA PUTRI</t>
  </si>
  <si>
    <t>0093190127</t>
  </si>
  <si>
    <t>DJOVANSYAH ARYA FAHREIZI</t>
  </si>
  <si>
    <t>0099325496</t>
  </si>
  <si>
    <t>GADIS PARANGKUHAN SUHARNA</t>
  </si>
  <si>
    <t>0106315476</t>
  </si>
  <si>
    <t>GALEN NARARYA WARMAN</t>
  </si>
  <si>
    <t>0098974298</t>
  </si>
  <si>
    <t>HANIFFA SALSA RAMADANI</t>
  </si>
  <si>
    <t>0107672538</t>
  </si>
  <si>
    <t>ICHA ADINDA PRATIWI</t>
  </si>
  <si>
    <t>0094486082</t>
  </si>
  <si>
    <t>KADEK ENDAH SWASTI TIKSNA</t>
  </si>
  <si>
    <t>0093151058</t>
  </si>
  <si>
    <t>KANSA KIRANA RAMADHANI</t>
  </si>
  <si>
    <t>0097077557</t>
  </si>
  <si>
    <t>KHALILA RENATA PUTRI</t>
  </si>
  <si>
    <t>0103794291</t>
  </si>
  <si>
    <t>MAHARDHIKA DENIZH AL-MUSYAFFA'</t>
  </si>
  <si>
    <t>0095781161</t>
  </si>
  <si>
    <t>MAIDA AZKIYA</t>
  </si>
  <si>
    <t>0098563583</t>
  </si>
  <si>
    <t>MAYA PRAMUDITA</t>
  </si>
  <si>
    <t>0102647566</t>
  </si>
  <si>
    <t>MUHAMMAD HANIF MAULANA ARIEFI</t>
  </si>
  <si>
    <t>0105510523</t>
  </si>
  <si>
    <t>NADHIN SABRINA PUTRI</t>
  </si>
  <si>
    <t>0109344184</t>
  </si>
  <si>
    <t>NADIA HASNA MILLATI</t>
  </si>
  <si>
    <t>0106723986</t>
  </si>
  <si>
    <t>NAYAKA WIRAJATI PRASETYO</t>
  </si>
  <si>
    <t>0096173973</t>
  </si>
  <si>
    <t>PRADITA AFLAH MUNTAZA</t>
  </si>
  <si>
    <t>0094030377</t>
  </si>
  <si>
    <t>RAFVAOLEYS ISRA PURNAMA</t>
  </si>
  <si>
    <t>0107497617</t>
  </si>
  <si>
    <t>RENDI YANUAR AFANDI</t>
  </si>
  <si>
    <t>0103880554</t>
  </si>
  <si>
    <t>RIFAT TRISTAN DHARMA</t>
  </si>
  <si>
    <t>0098710909</t>
  </si>
  <si>
    <t>RIZKI NOVERINKA</t>
  </si>
  <si>
    <t>0103912070</t>
  </si>
  <si>
    <t>SOFIADZKIA RIZQI</t>
  </si>
  <si>
    <t>0105151238</t>
  </si>
  <si>
    <t>TALITA LUTHFI FAJRYANA</t>
  </si>
  <si>
    <t>0102853514</t>
  </si>
  <si>
    <t>ZAHRA SHAFA ZHARIFAH</t>
  </si>
  <si>
    <t>0092595159</t>
  </si>
  <si>
    <t>AIRRA VANIA HASTARI</t>
  </si>
  <si>
    <t>3098833552</t>
  </si>
  <si>
    <t>AKHSAN AR ROUF</t>
  </si>
  <si>
    <t>0105064668</t>
  </si>
  <si>
    <t>ALFIRA NASYA NURFATMA</t>
  </si>
  <si>
    <t>0091790915</t>
  </si>
  <si>
    <t>ANISA NAELA</t>
  </si>
  <si>
    <t>0093073421</t>
  </si>
  <si>
    <t>ARKANANTA LINGGA CAHYANA</t>
  </si>
  <si>
    <t>0095880466</t>
  </si>
  <si>
    <t>AYUDIA WULANDARI</t>
  </si>
  <si>
    <t>0101998565</t>
  </si>
  <si>
    <t>AZIZAH PRAWATI RAHMAPRILIA</t>
  </si>
  <si>
    <t>0108136544</t>
  </si>
  <si>
    <t>FADIYAH PAMBAYUN WANDARI</t>
  </si>
  <si>
    <t>0097767581</t>
  </si>
  <si>
    <t>FAHRUSANI ADYUTA AMRI</t>
  </si>
  <si>
    <t>0103925148</t>
  </si>
  <si>
    <t>FAREN ZAKIYA NUR IRFANSYAH</t>
  </si>
  <si>
    <t>0108052430</t>
  </si>
  <si>
    <t>GHAFIBYY AFIF ASYKARI PRASETYO</t>
  </si>
  <si>
    <t>0109137024</t>
  </si>
  <si>
    <t>GITA NUR ANNISA</t>
  </si>
  <si>
    <t>0094334849</t>
  </si>
  <si>
    <t>HAFIZ RADITYA FATURRAHMAN</t>
  </si>
  <si>
    <t>0106154090</t>
  </si>
  <si>
    <t>HELMALIA RAHMA AZIZAH</t>
  </si>
  <si>
    <t>0094477128</t>
  </si>
  <si>
    <t>IKHWAN MAHARDIKA</t>
  </si>
  <si>
    <t>3090111535</t>
  </si>
  <si>
    <t>INTAN MULIA INSANI</t>
  </si>
  <si>
    <t>3097750085</t>
  </si>
  <si>
    <t>KHONSAA</t>
  </si>
  <si>
    <t>0099670534</t>
  </si>
  <si>
    <t>LUTHFI VIRATRI NEVARANDITA</t>
  </si>
  <si>
    <t>0095041452</t>
  </si>
  <si>
    <t>MUHAMMAD IHZA NURWACHID</t>
  </si>
  <si>
    <t>0092584118</t>
  </si>
  <si>
    <t>NAFIATUL NUR HIDAYATI</t>
  </si>
  <si>
    <t>0099688928</t>
  </si>
  <si>
    <t>NAYCILLA VAIRA PUTRI SURYA</t>
  </si>
  <si>
    <t>3090924499</t>
  </si>
  <si>
    <t>PUTRI APRILYA</t>
  </si>
  <si>
    <t>0094927756</t>
  </si>
  <si>
    <t>QATRUNADA ESTUNGKANA ZHAFRAN</t>
  </si>
  <si>
    <t>0094336390</t>
  </si>
  <si>
    <t>RAHMA ALMIRA ANAYA KHIRANI</t>
  </si>
  <si>
    <t>0099223520</t>
  </si>
  <si>
    <t>RAMADHAN DZAKI ARDANTO</t>
  </si>
  <si>
    <t>3097978397</t>
  </si>
  <si>
    <t>RAMDAN ARIEF DAMARA</t>
  </si>
  <si>
    <t>0105963456</t>
  </si>
  <si>
    <t>REYHAN ARZETA AJI</t>
  </si>
  <si>
    <t>0099651055</t>
  </si>
  <si>
    <t>RIZKI NUR RAHMADAN</t>
  </si>
  <si>
    <t>0101412210</t>
  </si>
  <si>
    <t>SAFIRA GENDIS MAHARANI</t>
  </si>
  <si>
    <t>0103128586</t>
  </si>
  <si>
    <t>SHOLEKHAH NUR ARIFIN</t>
  </si>
  <si>
    <t>0091150886</t>
  </si>
  <si>
    <t>YUAN MAYZA EXA BADRA</t>
  </si>
  <si>
    <t>0094888187</t>
  </si>
  <si>
    <t>YUNITA SITI AZ ZAHRA</t>
  </si>
  <si>
    <t>0094943882</t>
  </si>
  <si>
    <t>ZAHRA EARLY NASHIFA</t>
  </si>
  <si>
    <t>0096375760</t>
  </si>
  <si>
    <t>ZAHVIRA OKTA AYUNINDYA PRIYAMBODO</t>
  </si>
  <si>
    <t>0105261584</t>
  </si>
  <si>
    <t>ZARIFAH HANIF LATIFAH</t>
  </si>
  <si>
    <t>0102196353</t>
  </si>
  <si>
    <t>ADIRA ESTINING TIYAS</t>
  </si>
  <si>
    <t>0098889420</t>
  </si>
  <si>
    <t>AHMAD RIFQI BUKHARI</t>
  </si>
  <si>
    <t>0095967210</t>
  </si>
  <si>
    <t>AINA DARA KINANTHI</t>
  </si>
  <si>
    <t>0119538891</t>
  </si>
  <si>
    <t>AISYAH LADITA PUTRI HANDAYANI</t>
  </si>
  <si>
    <t>0092455510</t>
  </si>
  <si>
    <t>ALLENA AULIA KINANTI</t>
  </si>
  <si>
    <t>0091751552</t>
  </si>
  <si>
    <t>AMELIA PUTRI PRADITA</t>
  </si>
  <si>
    <t>0101508305</t>
  </si>
  <si>
    <t>ANGGRE MUKTIA DINATA</t>
  </si>
  <si>
    <t>0092061539</t>
  </si>
  <si>
    <t>ANINDYA ANITA WIDYANTARI</t>
  </si>
  <si>
    <t>0099357978</t>
  </si>
  <si>
    <t>ARLA AZZURA</t>
  </si>
  <si>
    <t>0101727063</t>
  </si>
  <si>
    <t>ARTHALITA NUR HAFIIZHAH</t>
  </si>
  <si>
    <t>0098086779</t>
  </si>
  <si>
    <t>ASYIFA FANIDA SETYANI</t>
  </si>
  <si>
    <t>0097784885</t>
  </si>
  <si>
    <t>AZZAHRA SYIFANI PUTRI NAWANGWULAN</t>
  </si>
  <si>
    <t>0103784466</t>
  </si>
  <si>
    <t>DAYYAN RAFIF ARKANANTA</t>
  </si>
  <si>
    <t>0109633906</t>
  </si>
  <si>
    <t>DEAN NABEEL ALFANDI</t>
  </si>
  <si>
    <t>0093752467</t>
  </si>
  <si>
    <t>DESIKA DETA OKTAVIANA</t>
  </si>
  <si>
    <t>0092835495</t>
  </si>
  <si>
    <t>HAFIDZ ALIF SAPUTRA</t>
  </si>
  <si>
    <t>0091076110</t>
  </si>
  <si>
    <t>HANDIKA DANISWARA</t>
  </si>
  <si>
    <t>0093418357</t>
  </si>
  <si>
    <t>HANIFA AMABEL NESSA</t>
  </si>
  <si>
    <t>3109063805</t>
  </si>
  <si>
    <t>HANIN DZIKRA MARITZA</t>
  </si>
  <si>
    <t>0089832669</t>
  </si>
  <si>
    <t>HAZZA RAUFANDI SABTORO</t>
  </si>
  <si>
    <t>0094620389</t>
  </si>
  <si>
    <t>JENITA MUTIA SALSABILA</t>
  </si>
  <si>
    <t>0095864140</t>
  </si>
  <si>
    <t>KIREYNA LATHIFAH SHABRINA</t>
  </si>
  <si>
    <t>0095404759</t>
  </si>
  <si>
    <t>LUTHFI NAWWAF SHABRI</t>
  </si>
  <si>
    <t>0097074285</t>
  </si>
  <si>
    <t>MUHAMMAD FAIZ NUR ROHMAN</t>
  </si>
  <si>
    <t>0108691036</t>
  </si>
  <si>
    <t>MUHAMMAD RIZKI ADITAMA</t>
  </si>
  <si>
    <t>0104865679</t>
  </si>
  <si>
    <t>NADHIFAH HAJATUN NISAK</t>
  </si>
  <si>
    <t>0094511223</t>
  </si>
  <si>
    <t>NASYWA SYIFANA PUTRI</t>
  </si>
  <si>
    <t>0105214001</t>
  </si>
  <si>
    <t>NUR'AINI PUTRI CHASANAH</t>
  </si>
  <si>
    <t>0096940690</t>
  </si>
  <si>
    <t>RAMZI ARIFAN PRADANA</t>
  </si>
  <si>
    <t>0102735110</t>
  </si>
  <si>
    <t>RIKY FAJAR NUGRAHA</t>
  </si>
  <si>
    <t>3095667242</t>
  </si>
  <si>
    <t>SHAFA AMELIA SAFITRI</t>
  </si>
  <si>
    <t>0097434527</t>
  </si>
  <si>
    <t>SHELIANA JULYA PUTRI</t>
  </si>
  <si>
    <t>0099665967</t>
  </si>
  <si>
    <t>TIARA VIDINA</t>
  </si>
  <si>
    <t>0092063153</t>
  </si>
  <si>
    <t>TYAS NOVA RISTAWIDYAWATI</t>
  </si>
  <si>
    <t>0099564363</t>
  </si>
  <si>
    <t>VARADHISTA VERONICA PUTRI LESTARY</t>
  </si>
  <si>
    <t>0091781891</t>
  </si>
  <si>
    <t>ZAKY AKBAR NOVA PAHLEVI</t>
  </si>
  <si>
    <t>0108246023</t>
  </si>
  <si>
    <t>AHNAF ARSYAD NARAYAN</t>
  </si>
  <si>
    <t>0093312244</t>
  </si>
  <si>
    <t>ALIF ZAINAL FIKRI</t>
  </si>
  <si>
    <t>3094841739</t>
  </si>
  <si>
    <t>ANNISA NUR RAHMADANI</t>
  </si>
  <si>
    <t>0097709136</t>
  </si>
  <si>
    <t>ARSYA RHANA ARVIANDA</t>
  </si>
  <si>
    <t>0103809238</t>
  </si>
  <si>
    <t>AUDYNA FEBRIYANI</t>
  </si>
  <si>
    <t>3094857259</t>
  </si>
  <si>
    <t>AZARIN LATIFA ISNAINI</t>
  </si>
  <si>
    <t>3102293724</t>
  </si>
  <si>
    <t>BRILLIAN GALUH PRAMUDITA</t>
  </si>
  <si>
    <t>0109732550</t>
  </si>
  <si>
    <t>CLARISA DYAH AYU PRAMESWARI</t>
  </si>
  <si>
    <t>0108983315</t>
  </si>
  <si>
    <t>DEMITRIA ADINATHAN PRABOWO</t>
  </si>
  <si>
    <t>0096074416</t>
  </si>
  <si>
    <t>DZAKI LUKMANA</t>
  </si>
  <si>
    <t>0096323158</t>
  </si>
  <si>
    <t>ELVINOLA NERRA MAHESWARI</t>
  </si>
  <si>
    <t>0098452220</t>
  </si>
  <si>
    <t>FAIZA DAFFA MAHARDIKA</t>
  </si>
  <si>
    <t>0102631531</t>
  </si>
  <si>
    <t>FARHAN HANAFI</t>
  </si>
  <si>
    <t>0093850540</t>
  </si>
  <si>
    <t>GAUNG SEKAR KINANTHI</t>
  </si>
  <si>
    <t>0098931931</t>
  </si>
  <si>
    <t>GHAISANI FILDZAH PURNAMA</t>
  </si>
  <si>
    <t>0098341852</t>
  </si>
  <si>
    <t>HANIFAH GANES ANDINI</t>
  </si>
  <si>
    <t>0091395274</t>
  </si>
  <si>
    <t>ICHA KHAIRUNISYA PUTRI</t>
  </si>
  <si>
    <t>0093387082</t>
  </si>
  <si>
    <t>KEISYA AULIA RAHMADITA</t>
  </si>
  <si>
    <t>0094443568</t>
  </si>
  <si>
    <t>KENZIE PENTA ADHELIA</t>
  </si>
  <si>
    <t>0109882876</t>
  </si>
  <si>
    <t>KEYLA NUVITA ANJANI</t>
  </si>
  <si>
    <t>0095757894</t>
  </si>
  <si>
    <t>LIANDIKA PUTRA ABYMANYU</t>
  </si>
  <si>
    <t>0102908399</t>
  </si>
  <si>
    <t>LUTFIYANA PURBANINGSIH</t>
  </si>
  <si>
    <t>3100979022</t>
  </si>
  <si>
    <t>MITA LESTARI</t>
  </si>
  <si>
    <t>0102984276</t>
  </si>
  <si>
    <t>MUHAMMAD NAHEL FATTAN AL HUDAYA</t>
  </si>
  <si>
    <t>0101878830</t>
  </si>
  <si>
    <t>MUHAMMAD ZAINAGA AUFAZAHRI</t>
  </si>
  <si>
    <t>0093991658</t>
  </si>
  <si>
    <t>NABILA ZAHIRA NURHASNA ARIYANTO</t>
  </si>
  <si>
    <t>0094092416</t>
  </si>
  <si>
    <t>NAURA LATIFAH SUSANTO</t>
  </si>
  <si>
    <t>0096840385</t>
  </si>
  <si>
    <t>NIEBIRU FATHIMAH ZAHRA</t>
  </si>
  <si>
    <t>3091082213</t>
  </si>
  <si>
    <t>NURINI SYIFA ROHMAWATI</t>
  </si>
  <si>
    <t>0092936531</t>
  </si>
  <si>
    <t>RANITA WAHYU PURNAMASARI</t>
  </si>
  <si>
    <t>0099936433</t>
  </si>
  <si>
    <t>REYHAN IHZA MAULANA</t>
  </si>
  <si>
    <t>0096039635</t>
  </si>
  <si>
    <t>SHAFFIRA MAYLANI</t>
  </si>
  <si>
    <t>0099519076</t>
  </si>
  <si>
    <t>SYAMIL ASHROF FADHIL</t>
  </si>
  <si>
    <t>0098605160</t>
  </si>
  <si>
    <t>SYESIA AULIA NURAINI</t>
  </si>
  <si>
    <t>0098294729</t>
  </si>
  <si>
    <t>SYIFA PUTRI ELYSIA</t>
  </si>
  <si>
    <t>0103976479</t>
  </si>
  <si>
    <t>WAHDA NAZIL ADABI</t>
  </si>
  <si>
    <t>0097927590</t>
  </si>
  <si>
    <t>ALMIRA RAMADHINTA</t>
  </si>
  <si>
    <t>0107309612</t>
  </si>
  <si>
    <t>ANDIRATU LIEBISYA</t>
  </si>
  <si>
    <t>0092968728</t>
  </si>
  <si>
    <t>ATIKA RIA ISTIQOMAH</t>
  </si>
  <si>
    <t>0096871911</t>
  </si>
  <si>
    <t>BRILLIANT FADHIL NAUFALI AZA</t>
  </si>
  <si>
    <t>0105723794</t>
  </si>
  <si>
    <t>CAHYA RESTU PERMADI</t>
  </si>
  <si>
    <t>0097053977</t>
  </si>
  <si>
    <t>CHINTYA PUTRI MAHARANI</t>
  </si>
  <si>
    <t>0096564002</t>
  </si>
  <si>
    <t>CLARISA LEVIDYA SANGSAELA</t>
  </si>
  <si>
    <t>0098191343</t>
  </si>
  <si>
    <t>DHAWY ALYA HAURA</t>
  </si>
  <si>
    <t>3091566943</t>
  </si>
  <si>
    <t>DIVA ATHIFAH SANDHI</t>
  </si>
  <si>
    <t>0106493014</t>
  </si>
  <si>
    <t>ENES NEVI ASTUTI</t>
  </si>
  <si>
    <t>0109679575</t>
  </si>
  <si>
    <t>GHAZY ROSYAD ATTHORIQ</t>
  </si>
  <si>
    <t>0097343104</t>
  </si>
  <si>
    <t>ILFIA NUHA SYARIIFAH</t>
  </si>
  <si>
    <t>0096456361</t>
  </si>
  <si>
    <t>IRSYAD CHABIBUROCHMAN HIDAYAT</t>
  </si>
  <si>
    <t>0091712833</t>
  </si>
  <si>
    <t>ISYIKA BENING YUANPUTRI WAHAU</t>
  </si>
  <si>
    <t>0105565848</t>
  </si>
  <si>
    <t>JODHIPATY NIO NARIENDRA</t>
  </si>
  <si>
    <t>0096326698</t>
  </si>
  <si>
    <t>LATIFAH NUR SYA BAN</t>
  </si>
  <si>
    <t>0094507735</t>
  </si>
  <si>
    <t>LUTFI ILHAM PRIHANTORO</t>
  </si>
  <si>
    <t>0095813931</t>
  </si>
  <si>
    <t>LUTHFIYAH HANIF</t>
  </si>
  <si>
    <t>0097771843</t>
  </si>
  <si>
    <t>MALZEL AFNAN HANAFI</t>
  </si>
  <si>
    <t>0108489988</t>
  </si>
  <si>
    <t>MUHAMMAD IHSAN NUR WAHID</t>
  </si>
  <si>
    <t>0093244606</t>
  </si>
  <si>
    <t>MUHAMMAD ILHAM</t>
  </si>
  <si>
    <t>0098535713</t>
  </si>
  <si>
    <t>NAILA REIVA ARUMNI SANTOSA</t>
  </si>
  <si>
    <t>0101668091</t>
  </si>
  <si>
    <t>NAYLA SHAFA AZ'ZAHRA</t>
  </si>
  <si>
    <t>0096008311</t>
  </si>
  <si>
    <t>NINDIRA ALFA NAJIYYA</t>
  </si>
  <si>
    <t>0093738132</t>
  </si>
  <si>
    <t>NOVELIA ZELDA AMABEL</t>
  </si>
  <si>
    <t>0098448294</t>
  </si>
  <si>
    <t>RAYHAN EZRA PRAMUDYA</t>
  </si>
  <si>
    <t>0099263876</t>
  </si>
  <si>
    <t>RAYNAR UZIEL VALESTA</t>
  </si>
  <si>
    <t>0109196043</t>
  </si>
  <si>
    <t>SABILA PUTRI ALFAIDHA</t>
  </si>
  <si>
    <t>0093612255</t>
  </si>
  <si>
    <t>SOFI ESTI NINGTYAS</t>
  </si>
  <si>
    <t>0096551707</t>
  </si>
  <si>
    <t>TANIA DWI YULIANA</t>
  </si>
  <si>
    <t>0104879952</t>
  </si>
  <si>
    <t>TIARA ELSYA BARYAN PRATIWI</t>
  </si>
  <si>
    <t>3090254087</t>
  </si>
  <si>
    <t>TSANIAH AGUSTINA AYU SA'BANI</t>
  </si>
  <si>
    <t>0104996890</t>
  </si>
  <si>
    <t>YASMINA RAISYAPUTRI MAULIDA</t>
  </si>
  <si>
    <t>0096001172</t>
  </si>
  <si>
    <t>YUDHISTIRA REZKY RAMADHAN</t>
  </si>
  <si>
    <t>0102913452</t>
  </si>
  <si>
    <t>ZEETA HAFAFFA NUR KHAIRANA</t>
  </si>
  <si>
    <t>0107465318</t>
  </si>
  <si>
    <t>ZULAEHA MITA LURISKY</t>
  </si>
  <si>
    <t>No</t>
  </si>
  <si>
    <t>Bio</t>
  </si>
  <si>
    <t>Fis</t>
  </si>
  <si>
    <t>Kim</t>
  </si>
  <si>
    <t>Mat-L</t>
  </si>
  <si>
    <t>B. Jerm</t>
  </si>
  <si>
    <t>Eko</t>
  </si>
  <si>
    <t>Geo</t>
  </si>
  <si>
    <t>Sos</t>
  </si>
  <si>
    <t>Antro</t>
  </si>
  <si>
    <t>B. Jpn</t>
  </si>
  <si>
    <t>B. Ing-L</t>
  </si>
  <si>
    <t>Inf</t>
  </si>
  <si>
    <t>SMAN 2 Wonosari</t>
  </si>
  <si>
    <t>Kokurikuler</t>
  </si>
  <si>
    <t>Penjadwalan</t>
  </si>
  <si>
    <t>Senin</t>
  </si>
  <si>
    <t>Selasa</t>
  </si>
  <si>
    <t>Rabu</t>
  </si>
  <si>
    <t>Kamis</t>
  </si>
  <si>
    <t>Jumat</t>
  </si>
  <si>
    <t>Hari</t>
  </si>
  <si>
    <t>Jam</t>
  </si>
  <si>
    <t>A</t>
  </si>
  <si>
    <t>E</t>
  </si>
  <si>
    <t>B</t>
  </si>
  <si>
    <t>C</t>
  </si>
  <si>
    <t>D</t>
  </si>
  <si>
    <t>Jml</t>
  </si>
  <si>
    <t>0098346600</t>
  </si>
  <si>
    <t>FITRIYANI DEWI ASTUTI</t>
  </si>
  <si>
    <t>Mapel Pilihan Kelas XI+XII TA 2026/2027</t>
  </si>
  <si>
    <t>Ing-L</t>
  </si>
  <si>
    <t>Kelas : XII-A, Mapel pilihan : Bio, Fis, Kim, Mat-L</t>
  </si>
  <si>
    <t>Kelas : XII-B, Mapel pilihan : Bio, Fis, Kim, B. Jerm</t>
  </si>
  <si>
    <t>Kelas : XII-C, Mapel pilihan : Bio, Fis, Kim, Eko</t>
  </si>
  <si>
    <t>Kelas : XII-D, Mapel pilihan: Geo, Sos, Eko, B. Jerm</t>
  </si>
  <si>
    <t>Kelas : XII-E, Mapel pilihan: Geo, Sos, Eko, Antro</t>
  </si>
  <si>
    <t>Kelas : XII-F, Mapel pilihan: Geo, Sos, Eko, B. Jpn</t>
  </si>
  <si>
    <t>Kelas : XII-G, Mapel pilihan: Eko, B. Ing-L, B. Jpn, Antro</t>
  </si>
  <si>
    <t>Kelas : XI-A, Mapel pilihan : Bio, Kim, Antro, Sos</t>
  </si>
  <si>
    <t>Kelas : XI-C, Mapel Pilihan: Mat-L, Fis, Inf, B. Jerm.</t>
  </si>
  <si>
    <t>Kelas : XI-D, Mapel pilihan: Fis, Kim, Bio, B. Ing-L</t>
  </si>
  <si>
    <t>Kelas : XI-E, Mapel pilihan: Geo, Eko, Sos, B. Ing-L</t>
  </si>
  <si>
    <t>Kelas : XI-F, Mapel pilihan: Geo, Eko, Antro, B. Jpn.</t>
  </si>
  <si>
    <t>Kelas : XI-G, Mapel pilihan: Geo, Sos, Bio, B. Jpn.</t>
  </si>
  <si>
    <t>DAFTAR MURID TAHUN AJARAN 2026/2027</t>
  </si>
  <si>
    <t>Kelas : XI-B, Mapel pilihan : Mat-L, Fis, Kim, Bio</t>
  </si>
  <si>
    <t>0109933591</t>
  </si>
  <si>
    <t>ADELLIA DINNANTY SAPNA</t>
  </si>
  <si>
    <t>0116305799</t>
  </si>
  <si>
    <t>ALVITA OLA RALITA</t>
  </si>
  <si>
    <t>0107369712</t>
  </si>
  <si>
    <t>AMELIA ANGGRAINI</t>
  </si>
  <si>
    <t>0104956415</t>
  </si>
  <si>
    <t>ANOM PUTRA WIBOWO</t>
  </si>
  <si>
    <t>0108846722</t>
  </si>
  <si>
    <t>AYANA NUR AFINA</t>
  </si>
  <si>
    <t>0112711157</t>
  </si>
  <si>
    <t>BAIQ KANIA KHAIRUNNISA</t>
  </si>
  <si>
    <t>0102800161</t>
  </si>
  <si>
    <t>CAETRINE NIAMI</t>
  </si>
  <si>
    <t>0102467225</t>
  </si>
  <si>
    <t>CALLISTA QAULA PRAJA</t>
  </si>
  <si>
    <t>0117157210</t>
  </si>
  <si>
    <t>CHRISNA WIRA DILAGA</t>
  </si>
  <si>
    <t>0114184267</t>
  </si>
  <si>
    <t>DIONISIUS ANUGERAH</t>
  </si>
  <si>
    <t>0113709169</t>
  </si>
  <si>
    <t>DORMA CITRA SAHRATULANI NAINGGOLAN</t>
  </si>
  <si>
    <t>0112187558</t>
  </si>
  <si>
    <t>ELISABETH SEKAR NOVENA</t>
  </si>
  <si>
    <t>0116552018</t>
  </si>
  <si>
    <t>ELSA GRACE MONICA</t>
  </si>
  <si>
    <t>0102943392</t>
  </si>
  <si>
    <t>ELVINA ARDININGRUM</t>
  </si>
  <si>
    <t>0116481054</t>
  </si>
  <si>
    <t>FEDORA PEPITA PATRICIA YESMAR</t>
  </si>
  <si>
    <t>0101489772</t>
  </si>
  <si>
    <t>GINZA YEREMIA MEY ADHI RHIZMA</t>
  </si>
  <si>
    <t>0103250577</t>
  </si>
  <si>
    <t>HIDAYATUN COLISA ARKARISQINA</t>
  </si>
  <si>
    <t>0106721551</t>
  </si>
  <si>
    <t>HIZKIA ALSIONERA WIRABUMI</t>
  </si>
  <si>
    <t>0102206877</t>
  </si>
  <si>
    <t>JAVAS NAGARA</t>
  </si>
  <si>
    <t>0119674217</t>
  </si>
  <si>
    <t>KHOIRUNISA PUTRI LISTYARINI</t>
  </si>
  <si>
    <t>0119310910</t>
  </si>
  <si>
    <t>KINANTI ASMARANING TYAS</t>
  </si>
  <si>
    <t>0101679205</t>
  </si>
  <si>
    <t>LINGGA ZADA OGYA FATTA</t>
  </si>
  <si>
    <t>0104850400</t>
  </si>
  <si>
    <t>MAGDALENE JUANDITA HARISMAN</t>
  </si>
  <si>
    <t>0107744502</t>
  </si>
  <si>
    <t>MANDALIKA SUDIBYO</t>
  </si>
  <si>
    <t>0102783596</t>
  </si>
  <si>
    <t>MAULANA JIHAD FENNOGIYA</t>
  </si>
  <si>
    <t>0103893783</t>
  </si>
  <si>
    <t>MUHAMMAD ARFAN MAULANA</t>
  </si>
  <si>
    <t>0108659712</t>
  </si>
  <si>
    <t>NADINE CHARYTA DEWI</t>
  </si>
  <si>
    <t>0112766189</t>
  </si>
  <si>
    <t>NAFIISA ZAYNA ARRAFI</t>
  </si>
  <si>
    <t>0104236664</t>
  </si>
  <si>
    <t>NAYLAFRENDA ELDIDAN PRIATMAJA</t>
  </si>
  <si>
    <t>0109099369</t>
  </si>
  <si>
    <t>OCTESA ZAHABIA HANTIKA SESABILA</t>
  </si>
  <si>
    <t>3100820579</t>
  </si>
  <si>
    <t>PRANIA EXZORRA NAYATA</t>
  </si>
  <si>
    <t>0115165649</t>
  </si>
  <si>
    <t>SALSABILA TANAYA PUTRI</t>
  </si>
  <si>
    <t>0102053606</t>
  </si>
  <si>
    <t>SULKHAN AFANDI</t>
  </si>
  <si>
    <t>0105965107</t>
  </si>
  <si>
    <t>VANIA AGMELIA</t>
  </si>
  <si>
    <t>0105159965</t>
  </si>
  <si>
    <t>WARIH RACHMAN HAKIM</t>
  </si>
  <si>
    <t>0121241305</t>
  </si>
  <si>
    <t>AGATHA OLIVIA PUTRI</t>
  </si>
  <si>
    <t>0105799113</t>
  </si>
  <si>
    <t>AGUSTINUS VERGINANDO KENZI PRATAMA</t>
  </si>
  <si>
    <t>0101599274</t>
  </si>
  <si>
    <t>AIS ALKORI</t>
  </si>
  <si>
    <t>0119446611</t>
  </si>
  <si>
    <t>ANASTASYA GALUH ANINDITA</t>
  </si>
  <si>
    <t>0107520799</t>
  </si>
  <si>
    <t>ANNISA DWI FITRIANI</t>
  </si>
  <si>
    <t>0108815140</t>
  </si>
  <si>
    <t>AULIA LAYLA ABDILLAH</t>
  </si>
  <si>
    <t>0109959911</t>
  </si>
  <si>
    <t>CARISSA RISTINIA AUDREY</t>
  </si>
  <si>
    <t>0117229998</t>
  </si>
  <si>
    <t>CHASNA' ANEEQA NUR'AINI</t>
  </si>
  <si>
    <t>0112253770</t>
  </si>
  <si>
    <t>CYRILLA SVITZVALENZA DIOVANKA ASMARA</t>
  </si>
  <si>
    <t>0102494081</t>
  </si>
  <si>
    <t>DEA GYSCA RAFANI PUTRI</t>
  </si>
  <si>
    <t>0112465743</t>
  </si>
  <si>
    <t>GERARDUS PRADANA WIBISONO SANTOSA</t>
  </si>
  <si>
    <t>0101233309</t>
  </si>
  <si>
    <t>GRACIA BETREACE QUENNEL VALENTINE WANDAPUTRI</t>
  </si>
  <si>
    <t>0109661907</t>
  </si>
  <si>
    <t>GREGORIUS RIAN CANDRA KRISTYANTO</t>
  </si>
  <si>
    <t>0109997314</t>
  </si>
  <si>
    <t>HANANDARU ALPHA RIDHO WIJAYA</t>
  </si>
  <si>
    <t>0107190526</t>
  </si>
  <si>
    <t>HIDHE EVANO BRAMASTYA</t>
  </si>
  <si>
    <t>0118152570</t>
  </si>
  <si>
    <t>ILHAM WIDIASMUKTI</t>
  </si>
  <si>
    <t>0105176551</t>
  </si>
  <si>
    <t>JESSICA KARINA QUEENSHA PUTRI</t>
  </si>
  <si>
    <t>0124032557</t>
  </si>
  <si>
    <t>KAMILA DAROJATI S</t>
  </si>
  <si>
    <t>0101452975</t>
  </si>
  <si>
    <t>KHANIFA AULIA KARIM</t>
  </si>
  <si>
    <t>0108152927</t>
  </si>
  <si>
    <t>KHARISA ADELYA ANINDITHA</t>
  </si>
  <si>
    <t>0109245780</t>
  </si>
  <si>
    <t>LENTIK NAISYA AYU LADISSA AZZAHRA TSANIA PUTRI</t>
  </si>
  <si>
    <t>0105231797</t>
  </si>
  <si>
    <t>LISTAVIRA DEONARISTI AYUDHYAKSA</t>
  </si>
  <si>
    <t>0117285933</t>
  </si>
  <si>
    <t>MARGARITA ANINDIA YUNITASARI</t>
  </si>
  <si>
    <t>0114795935</t>
  </si>
  <si>
    <t>NAFISA NISWATUL AWWALIN</t>
  </si>
  <si>
    <t>0124976999</t>
  </si>
  <si>
    <t>NAYLA ALYA ROBBANI</t>
  </si>
  <si>
    <t>0118485930</t>
  </si>
  <si>
    <t>OXCEL SAURA ARDELIN PRADAKSA</t>
  </si>
  <si>
    <t>0114089686</t>
  </si>
  <si>
    <t>RIZQI WAHID ZULFIKRI</t>
  </si>
  <si>
    <t>0103903862</t>
  </si>
  <si>
    <t>SAMUEL HERO JURO</t>
  </si>
  <si>
    <t>0117415291</t>
  </si>
  <si>
    <t>SEKAR ARIVA ARDININGRUM</t>
  </si>
  <si>
    <t>0104756798</t>
  </si>
  <si>
    <t>TISYA INDAH KIRANA</t>
  </si>
  <si>
    <t>0117608232</t>
  </si>
  <si>
    <t>VELLIA RINJANI AWANDA</t>
  </si>
  <si>
    <t>0102163554</t>
  </si>
  <si>
    <t>WISNU KUMARA SETA</t>
  </si>
  <si>
    <t>0114738019</t>
  </si>
  <si>
    <t>YOHANA HAPPY LEONISA</t>
  </si>
  <si>
    <t>0115645845</t>
  </si>
  <si>
    <t>YOHANA KALYANA TANTRI</t>
  </si>
  <si>
    <t>0116877370</t>
  </si>
  <si>
    <t>YOISNICKO RONYAWAN ASTYA</t>
  </si>
  <si>
    <t>0108447472</t>
  </si>
  <si>
    <t>ZAHRA ADZKIA MUTHMAINAH</t>
  </si>
  <si>
    <t>0116813646</t>
  </si>
  <si>
    <t>AISYAH TAFRIJIYYAH AS SINA</t>
  </si>
  <si>
    <t>0108224806</t>
  </si>
  <si>
    <t>ALEENA ASA ZABRINA</t>
  </si>
  <si>
    <t>0101085501</t>
  </si>
  <si>
    <t>ALFINO RESTU AULIA</t>
  </si>
  <si>
    <t>0101938651</t>
  </si>
  <si>
    <t>ALIF DAMAR RAMADHAN</t>
  </si>
  <si>
    <t>0101601529</t>
  </si>
  <si>
    <t>ALMIRA SAYYIDINA</t>
  </si>
  <si>
    <t>0108125151</t>
  </si>
  <si>
    <t>ALSA FA'UZIAH</t>
  </si>
  <si>
    <t>0107966844</t>
  </si>
  <si>
    <t>ANINDITYA CHIQUITA NUGRAHENY</t>
  </si>
  <si>
    <t>0111024123</t>
  </si>
  <si>
    <t>ANNISA ADI SHOFIA</t>
  </si>
  <si>
    <t>0105796777</t>
  </si>
  <si>
    <t>AUFA NARA THARIZABELA</t>
  </si>
  <si>
    <t>0102239537</t>
  </si>
  <si>
    <t>BAKTI NAYOTTAMA</t>
  </si>
  <si>
    <t>0113864770</t>
  </si>
  <si>
    <t>FACHRI ACHMAD ADITAMA</t>
  </si>
  <si>
    <t>0102634565</t>
  </si>
  <si>
    <t>FADILLA  ZULFA KHOIRUNISA</t>
  </si>
  <si>
    <t>0101487632</t>
  </si>
  <si>
    <t>GABRIEL DEVIN VANHEN</t>
  </si>
  <si>
    <t>0105709790</t>
  </si>
  <si>
    <t>HAFIDAH RAYYA SYIFA'</t>
  </si>
  <si>
    <t>0106809088</t>
  </si>
  <si>
    <t>IBRAHIM ADHIMAS WIBOWO</t>
  </si>
  <si>
    <t>0114782968</t>
  </si>
  <si>
    <t>INAS FADIA ARNIA</t>
  </si>
  <si>
    <t>0102842351</t>
  </si>
  <si>
    <t>IVANDER TEGAR PRATAMA</t>
  </si>
  <si>
    <t>0114636054</t>
  </si>
  <si>
    <t>JOUAN SABASTIAN ALANDO</t>
  </si>
  <si>
    <t>0101973777</t>
  </si>
  <si>
    <t>KESYA NUR KHAYANI</t>
  </si>
  <si>
    <t>0117432332</t>
  </si>
  <si>
    <t>KHALILA MAKAILLA AZZAHRA</t>
  </si>
  <si>
    <t>0108096651</t>
  </si>
  <si>
    <t>KHALILA NUR AZZAHRA</t>
  </si>
  <si>
    <t>3114070380</t>
  </si>
  <si>
    <t>KHONSA EL FATHIN</t>
  </si>
  <si>
    <t>0112595275</t>
  </si>
  <si>
    <t>KURNIA LATIF</t>
  </si>
  <si>
    <t>0112101955</t>
  </si>
  <si>
    <t>LARRA SABITA KURNIA RADIKA</t>
  </si>
  <si>
    <t>0118472714</t>
  </si>
  <si>
    <t>MILA RAHMAWATI</t>
  </si>
  <si>
    <t>0104529244</t>
  </si>
  <si>
    <t>NAIFA RIVKA AZ ZAHRA</t>
  </si>
  <si>
    <t>0109531942</t>
  </si>
  <si>
    <t>NAIMA MAGDALENA</t>
  </si>
  <si>
    <t>0101869187</t>
  </si>
  <si>
    <t>RADITA GILANG PRATAMA</t>
  </si>
  <si>
    <t>0112748870</t>
  </si>
  <si>
    <t>REWARDA HAYU</t>
  </si>
  <si>
    <t>0109307169</t>
  </si>
  <si>
    <t>RIDWAN DWI PRASETYO</t>
  </si>
  <si>
    <t>0108379791</t>
  </si>
  <si>
    <t>RISNU MAHENDRA SAPUTRA</t>
  </si>
  <si>
    <t>0104508778</t>
  </si>
  <si>
    <t>SALMAN ADITYA FAJAR</t>
  </si>
  <si>
    <t>0105744583</t>
  </si>
  <si>
    <t>SINTA KHAIRRIYYAH</t>
  </si>
  <si>
    <t>0107599649</t>
  </si>
  <si>
    <t>SYAGITA OKTAVIANA</t>
  </si>
  <si>
    <t>0108281420</t>
  </si>
  <si>
    <t>TITIS RAMADHAN YUNARI</t>
  </si>
  <si>
    <t>0106053228</t>
  </si>
  <si>
    <t>ZASTRIA EKA NURAHMAH</t>
  </si>
  <si>
    <t>0112347778</t>
  </si>
  <si>
    <t>ADELIA NAFI</t>
  </si>
  <si>
    <t>0103244611</t>
  </si>
  <si>
    <t>ALMIRA DELISHA NUR NABILA</t>
  </si>
  <si>
    <t>0108089000</t>
  </si>
  <si>
    <t>ASKA BAGAS NUR ADITYA</t>
  </si>
  <si>
    <t>0101469773</t>
  </si>
  <si>
    <t>BINTANG APRIL PATRICIA</t>
  </si>
  <si>
    <t>0108520792</t>
  </si>
  <si>
    <t>DAMAR MAULANA IBRAHIM</t>
  </si>
  <si>
    <t>0119489169</t>
  </si>
  <si>
    <t>ESYAH DWI WIDYANINGRUM</t>
  </si>
  <si>
    <t>0102705868</t>
  </si>
  <si>
    <t>FAIZAL ALDI FATHULLAH</t>
  </si>
  <si>
    <t>0109558942</t>
  </si>
  <si>
    <t>FEBRIANO VALEN KEIHAN</t>
  </si>
  <si>
    <t>0112805774</t>
  </si>
  <si>
    <t>FINATA ELVIANI</t>
  </si>
  <si>
    <t>0114265738</t>
  </si>
  <si>
    <t>HELENA RASYID</t>
  </si>
  <si>
    <t>3102176704</t>
  </si>
  <si>
    <t>HERA PUTRI SELFIANI</t>
  </si>
  <si>
    <t>0118670737</t>
  </si>
  <si>
    <t>IHSAN ZAKY ERLANDI</t>
  </si>
  <si>
    <t>0115588281</t>
  </si>
  <si>
    <t>JIAN NANIRA GANINSA</t>
  </si>
  <si>
    <t>0108860307</t>
  </si>
  <si>
    <t>KELVIN BINTANG JAVAS PRASETYO</t>
  </si>
  <si>
    <t>0112453482</t>
  </si>
  <si>
    <t>KEYZY SENDY ROOSJAYANTY</t>
  </si>
  <si>
    <t>0105993775</t>
  </si>
  <si>
    <t>LATIFA ALYA SUSANTO</t>
  </si>
  <si>
    <t>0101563521</t>
  </si>
  <si>
    <t>LORI RAHWIKU MAHANANI</t>
  </si>
  <si>
    <t>0104329152</t>
  </si>
  <si>
    <t>MARCHALIA AZ ZAHRA</t>
  </si>
  <si>
    <t>0116952749</t>
  </si>
  <si>
    <t>MUHAMMAD IRFAN NOOR ABIDIN</t>
  </si>
  <si>
    <t>0119051087</t>
  </si>
  <si>
    <t>NAILA DWI ATIIQAH</t>
  </si>
  <si>
    <t>0101417782</t>
  </si>
  <si>
    <t>NAJWA HAFIZA AZZAHRA</t>
  </si>
  <si>
    <t>0108549329</t>
  </si>
  <si>
    <t>NATASYA AULIA RAMADHANI</t>
  </si>
  <si>
    <t>0102831443</t>
  </si>
  <si>
    <t>NOURMALITA ZAHRA KUSUMANINGTYAS</t>
  </si>
  <si>
    <t>0104969396</t>
  </si>
  <si>
    <t>PRATISTA TSAMARA GALIH</t>
  </si>
  <si>
    <t>0103720523</t>
  </si>
  <si>
    <t>PUTRI ARUM KUSUMO</t>
  </si>
  <si>
    <t>0109043408</t>
  </si>
  <si>
    <t>QORIAH DWI NUR HIKMAH</t>
  </si>
  <si>
    <t>0111496315</t>
  </si>
  <si>
    <t>RAFA NABIL MUTAWAKKIL</t>
  </si>
  <si>
    <t>0109330544</t>
  </si>
  <si>
    <t>RAGIL SUBROTO LARAS</t>
  </si>
  <si>
    <t>0105943348</t>
  </si>
  <si>
    <t>RAMADHAN HIDAYATULOH</t>
  </si>
  <si>
    <t>0102936134</t>
  </si>
  <si>
    <t>RESTU NAWAQURROH</t>
  </si>
  <si>
    <t>0108908406</t>
  </si>
  <si>
    <t>RISKI WIDYA PRASETYA</t>
  </si>
  <si>
    <t>0102777792</t>
  </si>
  <si>
    <t>SENDY EKA YUDANTI</t>
  </si>
  <si>
    <t>0107350824</t>
  </si>
  <si>
    <t>SETYARAFIF FATHI KHAIRULLAH</t>
  </si>
  <si>
    <t>0105644101</t>
  </si>
  <si>
    <t>SHERLY REZITA PUTRI</t>
  </si>
  <si>
    <t>0103306996</t>
  </si>
  <si>
    <t>SYIFA ATHA KAYYASAH ARIFIN</t>
  </si>
  <si>
    <t>0117070877</t>
  </si>
  <si>
    <t>ADINDA PUTRI</t>
  </si>
  <si>
    <t>3107282465</t>
  </si>
  <si>
    <t>AHMAD MUWAFIQ</t>
  </si>
  <si>
    <t>0108651469</t>
  </si>
  <si>
    <t>AISAH MULIYA SARI</t>
  </si>
  <si>
    <t>0114509791</t>
  </si>
  <si>
    <t>AL FATH VERLIFZA NOVERIAWAN</t>
  </si>
  <si>
    <t>0111705226</t>
  </si>
  <si>
    <t>AMIRA LATIFA AZZAHRA</t>
  </si>
  <si>
    <t>0119605821</t>
  </si>
  <si>
    <t>ANISA NUR FAIZZA</t>
  </si>
  <si>
    <t>0102297860</t>
  </si>
  <si>
    <t>AQIL HABIBURAHIM</t>
  </si>
  <si>
    <t>0109824688</t>
  </si>
  <si>
    <t>ARDINA KIRANIA PUTRI</t>
  </si>
  <si>
    <t>0108259304</t>
  </si>
  <si>
    <t>ATTARHEA NAFISA ZERLINDA MARVA</t>
  </si>
  <si>
    <t>0116351688</t>
  </si>
  <si>
    <t>AURELLIA PUTRI ALITA</t>
  </si>
  <si>
    <t>0105128675</t>
  </si>
  <si>
    <t>BALQIST RAHMADANI</t>
  </si>
  <si>
    <t>0101789135</t>
  </si>
  <si>
    <t>CAESAR BSMAN ALAMBANA SHANDY</t>
  </si>
  <si>
    <t>0109137759</t>
  </si>
  <si>
    <t>CINDY CHASERA NEPRIL</t>
  </si>
  <si>
    <t>0114150231</t>
  </si>
  <si>
    <t>CLARABELLA ARFA DANISH SANTOSA</t>
  </si>
  <si>
    <t>0105694267</t>
  </si>
  <si>
    <t>GALIH NUR MAJID</t>
  </si>
  <si>
    <t>0113155808</t>
  </si>
  <si>
    <t>HAIFA SATYA BUDI</t>
  </si>
  <si>
    <t>0105366339</t>
  </si>
  <si>
    <t>ILYAS ZAKI AFKA WIBOWO</t>
  </si>
  <si>
    <t>0103678939</t>
  </si>
  <si>
    <t>IMAM GHANY AKBAR</t>
  </si>
  <si>
    <t>0102555959</t>
  </si>
  <si>
    <t>JASMINE APTA NUR RAMADHANI</t>
  </si>
  <si>
    <t>3118540175</t>
  </si>
  <si>
    <t>KHANSA TALITA ZAHRAN</t>
  </si>
  <si>
    <t>0115799073</t>
  </si>
  <si>
    <t>KINANTI PURWANINGTIAS</t>
  </si>
  <si>
    <t>0115790874</t>
  </si>
  <si>
    <t>LORENZO ARKA SETIAWAN</t>
  </si>
  <si>
    <t>0103429638</t>
  </si>
  <si>
    <t>MARSHA AYU HIDAYATI</t>
  </si>
  <si>
    <t>0108851397</t>
  </si>
  <si>
    <t>MUHAMMAD AMIRUL HUDA ABIYOSO</t>
  </si>
  <si>
    <t>0104210410</t>
  </si>
  <si>
    <t>MUHAMMAD KHALID MUSTOFA</t>
  </si>
  <si>
    <t>0106811315</t>
  </si>
  <si>
    <t>MUHAMMAD VITO BIVARDIKA</t>
  </si>
  <si>
    <t>0108507852</t>
  </si>
  <si>
    <t>MUMTAZAH NURHAJJ QURRATU'AINI</t>
  </si>
  <si>
    <t>0103598833</t>
  </si>
  <si>
    <t>NATASYA JIHAN NABILA</t>
  </si>
  <si>
    <t>0106262942</t>
  </si>
  <si>
    <t>NURVITA RAMADHANI</t>
  </si>
  <si>
    <t>0112612055</t>
  </si>
  <si>
    <t>REGINA AINUN MAHYA</t>
  </si>
  <si>
    <t>0108154740</t>
  </si>
  <si>
    <t>SALSABILA YUANITA PRASTIKA</t>
  </si>
  <si>
    <t>0117445846</t>
  </si>
  <si>
    <t>SEKAR ARUMIGITA WIDYALOVA</t>
  </si>
  <si>
    <t>0104917974</t>
  </si>
  <si>
    <t>TRI KHANA FADILLAH</t>
  </si>
  <si>
    <t>0104555273</t>
  </si>
  <si>
    <t>WILDA PANCA SASKI</t>
  </si>
  <si>
    <t>0108263055</t>
  </si>
  <si>
    <t>ZAHRA AL MARYAM GIMASTYAR</t>
  </si>
  <si>
    <t>0104817032</t>
  </si>
  <si>
    <t>ZAKY MUFFID AZIDAN</t>
  </si>
  <si>
    <t>3110754963</t>
  </si>
  <si>
    <t>'AINUN NUR 'AFIFAH</t>
  </si>
  <si>
    <t>0113157892</t>
  </si>
  <si>
    <t>AL KANSA NURUL KHOIRIYAH</t>
  </si>
  <si>
    <t>0101270481</t>
  </si>
  <si>
    <t>ALDIANO DESTA SAPUTRA</t>
  </si>
  <si>
    <t>0104357180</t>
  </si>
  <si>
    <t>ALFIYAH JILAN NASHIROH</t>
  </si>
  <si>
    <t>3110400691</t>
  </si>
  <si>
    <t>ANGGUN SHERYL CALISTA MAHARANI</t>
  </si>
  <si>
    <t>0107838258</t>
  </si>
  <si>
    <t>ARYA JAGANIWASA</t>
  </si>
  <si>
    <t>0117051459</t>
  </si>
  <si>
    <t>ATHANIA IKA NURLIA</t>
  </si>
  <si>
    <t>0111077469</t>
  </si>
  <si>
    <t>AVELIO VICKY SYAHPUTRA</t>
  </si>
  <si>
    <t>0101566592</t>
  </si>
  <si>
    <t>AYDINA PUTRI LASONO</t>
  </si>
  <si>
    <t>0114879487</t>
  </si>
  <si>
    <t>AZIM IKHWAN MA'RUFI</t>
  </si>
  <si>
    <t>0106929309</t>
  </si>
  <si>
    <t>AZKA KHOIRUNNISA BINTARTO</t>
  </si>
  <si>
    <t>0107046403</t>
  </si>
  <si>
    <t>BELA NATASYA PUTRI</t>
  </si>
  <si>
    <t>0105622684</t>
  </si>
  <si>
    <t>BISMAR ZAKI TASTIAN</t>
  </si>
  <si>
    <t>0105942198</t>
  </si>
  <si>
    <t>DANISHA ALVI YUNIASIH</t>
  </si>
  <si>
    <t>0115895601</t>
  </si>
  <si>
    <t>ERIZZA PUTRI RANUATMAJA</t>
  </si>
  <si>
    <t>0109958527</t>
  </si>
  <si>
    <t>ERNITA CAHYA PUTRI MAHARANI</t>
  </si>
  <si>
    <t>0108042122</t>
  </si>
  <si>
    <t>FAIZA ALYA AZIZAH</t>
  </si>
  <si>
    <t>0112991961</t>
  </si>
  <si>
    <t>FELDA FALINCIA</t>
  </si>
  <si>
    <t>0109205219</t>
  </si>
  <si>
    <t>GIZKA FAUZIAH HANUM</t>
  </si>
  <si>
    <t>3109266776</t>
  </si>
  <si>
    <t>HERDITA AMIRA CANDRARINI</t>
  </si>
  <si>
    <t>0111501118</t>
  </si>
  <si>
    <t>KHANSA KANA AQUEENRA</t>
  </si>
  <si>
    <t>0108591957</t>
  </si>
  <si>
    <t>KHANZA ENNOVE AMIRA DIESI</t>
  </si>
  <si>
    <t>0106038356</t>
  </si>
  <si>
    <t>LIVIA PUTRI RAMADHANI</t>
  </si>
  <si>
    <t>0121391595</t>
  </si>
  <si>
    <t>MARCEL SETYA PRATAMA</t>
  </si>
  <si>
    <t>0092201113</t>
  </si>
  <si>
    <t>MUHAMAD SALWA ATH TORIQ PANDUJATI</t>
  </si>
  <si>
    <t>0107995855</t>
  </si>
  <si>
    <t>MUHAMMAD FAKHRY USMAN</t>
  </si>
  <si>
    <t>0102514190</t>
  </si>
  <si>
    <t>MUHAMMAD KAIZAR NUGRAHA AJI</t>
  </si>
  <si>
    <t>0115924956</t>
  </si>
  <si>
    <t>MUHAMMAD SYAUQI AHZA</t>
  </si>
  <si>
    <t>0106319812</t>
  </si>
  <si>
    <t>REGINA FEBYOLA PUTRI</t>
  </si>
  <si>
    <t>0104961087</t>
  </si>
  <si>
    <t>RICO ALVIAN ABIMANYU</t>
  </si>
  <si>
    <t>0105260906</t>
  </si>
  <si>
    <t>SAFINA ZAHRO THULLA THIFA</t>
  </si>
  <si>
    <t>0103069735</t>
  </si>
  <si>
    <t>SASKIA PUTRI KINANTHI</t>
  </si>
  <si>
    <t>0109743242</t>
  </si>
  <si>
    <t>SYIFA KHAIRUNNISA</t>
  </si>
  <si>
    <t>0105947550</t>
  </si>
  <si>
    <t>SYIFA PUTRI RAMADHANI</t>
  </si>
  <si>
    <t>0104543272</t>
  </si>
  <si>
    <t>VALERIE HELGA PARISYA</t>
  </si>
  <si>
    <t>0113196336</t>
  </si>
  <si>
    <t>VICKY ALIFAH PUTRI</t>
  </si>
  <si>
    <t>0107093720</t>
  </si>
  <si>
    <t>ABET ADRIATMOKO</t>
  </si>
  <si>
    <t>0103995169</t>
  </si>
  <si>
    <t>ABYAN NAUFAL ARIFIN</t>
  </si>
  <si>
    <t>0116607885</t>
  </si>
  <si>
    <t>ADILLA NUR ZAFIRA</t>
  </si>
  <si>
    <t>0104925076</t>
  </si>
  <si>
    <t>AIMAR AZZAM LISTIANTO</t>
  </si>
  <si>
    <t>0112074420</t>
  </si>
  <si>
    <t>ARETHA EILEN ZADA</t>
  </si>
  <si>
    <t>0119518716</t>
  </si>
  <si>
    <t>AURORA VANESSA SASIKIRANA</t>
  </si>
  <si>
    <t>0101864155</t>
  </si>
  <si>
    <t>CLARA AYUDYA UMI KHASANAH</t>
  </si>
  <si>
    <t>0112129881</t>
  </si>
  <si>
    <t>DANISWARA SATYA ABYASA</t>
  </si>
  <si>
    <t>0109575639</t>
  </si>
  <si>
    <t>DEFARA ARYANI PUTRI</t>
  </si>
  <si>
    <t>0106491400</t>
  </si>
  <si>
    <t>DONITA EMBUN MENTARI</t>
  </si>
  <si>
    <t>0118573562</t>
  </si>
  <si>
    <t>EUNICE NAJLA KINETA</t>
  </si>
  <si>
    <t>0106963512</t>
  </si>
  <si>
    <t>FAHREZA RIZKI UTOMO</t>
  </si>
  <si>
    <t>0118022444</t>
  </si>
  <si>
    <t>FAUZIYYA KAMILA RIFIANTIKA</t>
  </si>
  <si>
    <t>0103442114</t>
  </si>
  <si>
    <t>GENDHIS WITANINGGAR</t>
  </si>
  <si>
    <t>0112891176</t>
  </si>
  <si>
    <t>HAFIIZH DHARMAWAN NUR BIADI</t>
  </si>
  <si>
    <t>0118198123</t>
  </si>
  <si>
    <t>HIMAWAN CANDRA PURNAMA</t>
  </si>
  <si>
    <t>0118750415</t>
  </si>
  <si>
    <t>ILYAS NUR RASYID</t>
  </si>
  <si>
    <t>0109730154</t>
  </si>
  <si>
    <t>ISNAEN GILANG ATMAJA</t>
  </si>
  <si>
    <t>0101330647</t>
  </si>
  <si>
    <t>KRISNA TEGAR NURRIZQI</t>
  </si>
  <si>
    <t>0107253129</t>
  </si>
  <si>
    <t>LILIA PUTRI SATYA IRAWAN</t>
  </si>
  <si>
    <t>0105557191</t>
  </si>
  <si>
    <t>MAHESWARI CALYA PANGGUGAH</t>
  </si>
  <si>
    <t>0103701305</t>
  </si>
  <si>
    <t>MALIKA LINTANG SAHNAZ SAKHAVADYA</t>
  </si>
  <si>
    <t>0108036162</t>
  </si>
  <si>
    <t>NARAERYA JAVAS SATRIAABYASHA</t>
  </si>
  <si>
    <t>0116274681</t>
  </si>
  <si>
    <t>NAYLA SALSABILA ANANDA</t>
  </si>
  <si>
    <t>0111944434</t>
  </si>
  <si>
    <t>PANCAR AYU WORO SRIKANDI</t>
  </si>
  <si>
    <t>0113996290</t>
  </si>
  <si>
    <t>QISYA ATHENA RIZKARHEA</t>
  </si>
  <si>
    <t>0112725630</t>
  </si>
  <si>
    <t>RAIHANAH AZALIA NAFI'AH WIDYANANDI</t>
  </si>
  <si>
    <t>0113690554</t>
  </si>
  <si>
    <t>REGISYA HERDAYANTI</t>
  </si>
  <si>
    <t>0115340590</t>
  </si>
  <si>
    <t>REISYA AULIA ZAHROTUN NA'IMAH</t>
  </si>
  <si>
    <t>0105452329</t>
  </si>
  <si>
    <t>RISTIE PUTRY ANDITA</t>
  </si>
  <si>
    <t>0113822399</t>
  </si>
  <si>
    <t>SATRIO LENGGO GENI</t>
  </si>
  <si>
    <t>3106135130</t>
  </si>
  <si>
    <t>SYAFIRA AZZAHRA RAMADHANI</t>
  </si>
  <si>
    <t>0106772396</t>
  </si>
  <si>
    <t>SYIFA AYU RAHMADANI</t>
  </si>
  <si>
    <t>0109077522</t>
  </si>
  <si>
    <t>TSURAYYA ALMIRA QADHAFI</t>
  </si>
  <si>
    <t>0105223856</t>
  </si>
  <si>
    <t>WULAN SUCI RAMADANI</t>
  </si>
  <si>
    <t>0108864015</t>
  </si>
  <si>
    <t>ZHIFA QHISA RAMADHANI</t>
  </si>
  <si>
    <r>
      <rPr>
        <b/>
        <sz val="12"/>
        <color rgb="FFFF0000"/>
        <rFont val="Arial"/>
        <family val="2"/>
      </rPr>
      <t>(Sementara)</t>
    </r>
    <r>
      <rPr>
        <b/>
        <sz val="12"/>
        <rFont val="Arial"/>
        <family val="2"/>
      </rPr>
      <t xml:space="preserve"> Formasi Kelas TA 2026/2027</t>
    </r>
  </si>
  <si>
    <t>Win</t>
  </si>
  <si>
    <t>Wali</t>
  </si>
  <si>
    <t>DP</t>
  </si>
  <si>
    <t>Yay</t>
  </si>
  <si>
    <t>Amir</t>
  </si>
  <si>
    <t>Deni</t>
  </si>
  <si>
    <t>Im</t>
  </si>
  <si>
    <t>Ulin</t>
  </si>
  <si>
    <t>April</t>
  </si>
  <si>
    <t>Sinta</t>
  </si>
  <si>
    <t>Dewi</t>
  </si>
  <si>
    <t>Pur</t>
  </si>
  <si>
    <t>Can</t>
  </si>
  <si>
    <t>Nurul</t>
  </si>
  <si>
    <t>Angg</t>
  </si>
  <si>
    <t>Dhi</t>
  </si>
  <si>
    <t>Is</t>
  </si>
  <si>
    <t>Agus</t>
  </si>
  <si>
    <t>Ratna</t>
  </si>
  <si>
    <t>Debby</t>
  </si>
  <si>
    <t>Ari</t>
  </si>
  <si>
    <t>Dyah</t>
  </si>
  <si>
    <t>0102353530</t>
  </si>
  <si>
    <t>FATHAN ALFANA RASYA AL KHALIFI</t>
  </si>
  <si>
    <t>Joko</t>
  </si>
  <si>
    <t>PKWU</t>
  </si>
  <si>
    <t>Daftar Mapel Pilihan TA 2025/2026 (lama)</t>
  </si>
  <si>
    <t>Daftar Mapel Pilihan TA 2026/2027 (baru)</t>
  </si>
  <si>
    <t>Ihwan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</si>
</sst>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1"/>
      <color indexed="8"/>
      <name val="Times New Roman"/>
      <family val="1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4"/>
      <color indexed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1"/>
      <color indexed="8"/>
      <name val="Arial"/>
      <family val="2"/>
    </font>
    <font>
      <b/>
      <sz val="10"/>
      <color rgb="FF0070C0"/>
      <name val="Arial"/>
      <family val="2"/>
    </font>
    <font>
      <u/>
      <sz val="9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i/>
      <sz val="11"/>
      <color theme="1"/>
      <name val="Arial"/>
      <family val="2"/>
    </font>
    <font>
      <b/>
      <sz val="12"/>
      <color rgb="FFFF0000"/>
      <name val="Arial"/>
      <family val="2"/>
    </font>
    <font>
      <u/>
      <sz val="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quotePrefix="1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2" fillId="2" borderId="0" xfId="0" applyFont="1" applyFill="1"/>
    <xf numFmtId="0" fontId="1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shrinkToFit="1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vertical="center"/>
    </xf>
    <xf numFmtId="0" fontId="15" fillId="0" borderId="2" xfId="0" quotePrefix="1" applyFont="1" applyBorder="1" applyAlignment="1">
      <alignment horizontal="center"/>
    </xf>
    <xf numFmtId="0" fontId="16" fillId="0" borderId="2" xfId="0" quotePrefix="1" applyFont="1" applyBorder="1" applyAlignment="1">
      <alignment horizontal="center"/>
    </xf>
    <xf numFmtId="0" fontId="16" fillId="0" borderId="2" xfId="0" applyFont="1" applyBorder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quotePrefix="1" applyFont="1" applyBorder="1" applyAlignment="1">
      <alignment vertical="center"/>
    </xf>
    <xf numFmtId="0" fontId="15" fillId="2" borderId="2" xfId="0" quotePrefix="1" applyFont="1" applyFill="1" applyBorder="1" applyAlignment="1">
      <alignment horizontal="center"/>
    </xf>
    <xf numFmtId="0" fontId="16" fillId="2" borderId="2" xfId="0" quotePrefix="1" applyFont="1" applyFill="1" applyBorder="1" applyAlignment="1">
      <alignment horizontal="center"/>
    </xf>
    <xf numFmtId="0" fontId="16" fillId="2" borderId="2" xfId="0" applyFont="1" applyFill="1" applyBorder="1" applyAlignment="1">
      <alignment vertical="center"/>
    </xf>
    <xf numFmtId="0" fontId="16" fillId="2" borderId="2" xfId="0" applyFont="1" applyFill="1" applyBorder="1" applyAlignment="1">
      <alignment horizontal="center" vertical="center"/>
    </xf>
    <xf numFmtId="0" fontId="9" fillId="0" borderId="0" xfId="0" applyFont="1"/>
    <xf numFmtId="0" fontId="13" fillId="0" borderId="2" xfId="0" quotePrefix="1" applyFont="1" applyBorder="1" applyAlignment="1">
      <alignment horizontal="center"/>
    </xf>
    <xf numFmtId="0" fontId="16" fillId="2" borderId="2" xfId="0" quotePrefix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left" vertical="center"/>
    </xf>
    <xf numFmtId="49" fontId="7" fillId="2" borderId="2" xfId="0" applyNumberFormat="1" applyFont="1" applyFill="1" applyBorder="1" applyAlignment="1">
      <alignment horizontal="center" vertical="center" shrinkToFit="1"/>
    </xf>
    <xf numFmtId="49" fontId="16" fillId="0" borderId="2" xfId="0" quotePrefix="1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9" fontId="16" fillId="2" borderId="2" xfId="0" quotePrefix="1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left"/>
    </xf>
    <xf numFmtId="49" fontId="0" fillId="0" borderId="0" xfId="0" applyNumberFormat="1"/>
    <xf numFmtId="49" fontId="13" fillId="0" borderId="2" xfId="0" quotePrefix="1" applyNumberFormat="1" applyFont="1" applyBorder="1" applyAlignment="1">
      <alignment horizontal="center"/>
    </xf>
    <xf numFmtId="49" fontId="5" fillId="0" borderId="0" xfId="0" applyNumberFormat="1" applyFont="1"/>
    <xf numFmtId="0" fontId="1" fillId="0" borderId="2" xfId="0" applyFont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17" fillId="4" borderId="2" xfId="0" applyFont="1" applyFill="1" applyBorder="1" applyAlignment="1">
      <alignment horizontal="right"/>
    </xf>
    <xf numFmtId="0" fontId="18" fillId="5" borderId="2" xfId="0" applyFont="1" applyFill="1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0" borderId="2" xfId="0" applyBorder="1"/>
    <xf numFmtId="0" fontId="18" fillId="5" borderId="2" xfId="0" applyFont="1" applyFill="1" applyBorder="1" applyAlignment="1">
      <alignment horizontal="center"/>
    </xf>
    <xf numFmtId="0" fontId="18" fillId="12" borderId="2" xfId="0" applyFont="1" applyFill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0" fillId="13" borderId="2" xfId="0" applyFill="1" applyBorder="1" applyAlignment="1">
      <alignment horizontal="center"/>
    </xf>
    <xf numFmtId="0" fontId="21" fillId="0" borderId="0" xfId="0" applyFont="1"/>
    <xf numFmtId="0" fontId="0" fillId="5" borderId="2" xfId="0" applyFill="1" applyBorder="1" applyAlignment="1">
      <alignment horizontal="center"/>
    </xf>
    <xf numFmtId="0" fontId="22" fillId="5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3" fillId="5" borderId="0" xfId="0" applyFont="1" applyFill="1"/>
    <xf numFmtId="0" fontId="3" fillId="3" borderId="0" xfId="0" applyFont="1" applyFill="1"/>
    <xf numFmtId="0" fontId="3" fillId="14" borderId="0" xfId="0" applyFont="1" applyFill="1"/>
    <xf numFmtId="0" fontId="24" fillId="0" borderId="0" xfId="0" applyFont="1"/>
    <xf numFmtId="0" fontId="10" fillId="0" borderId="0" xfId="0" applyFont="1"/>
    <xf numFmtId="0" fontId="16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5" fillId="5" borderId="2" xfId="0" quotePrefix="1" applyFont="1" applyFill="1" applyBorder="1" applyAlignment="1">
      <alignment horizontal="center"/>
    </xf>
    <xf numFmtId="0" fontId="16" fillId="5" borderId="2" xfId="0" quotePrefix="1" applyFont="1" applyFill="1" applyBorder="1" applyAlignment="1">
      <alignment horizontal="center"/>
    </xf>
    <xf numFmtId="0" fontId="16" fillId="5" borderId="2" xfId="0" applyFont="1" applyFill="1" applyBorder="1" applyAlignment="1">
      <alignment vertical="center"/>
    </xf>
    <xf numFmtId="0" fontId="3" fillId="15" borderId="0" xfId="0" applyFont="1" applyFill="1"/>
    <xf numFmtId="0" fontId="7" fillId="2" borderId="4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5" fillId="0" borderId="2" xfId="0" quotePrefix="1" applyFont="1" applyFill="1" applyBorder="1" applyAlignment="1">
      <alignment horizontal="center"/>
    </xf>
    <xf numFmtId="0" fontId="16" fillId="0" borderId="2" xfId="0" quotePrefix="1" applyFont="1" applyFill="1" applyBorder="1" applyAlignment="1">
      <alignment horizontal="center"/>
    </xf>
    <xf numFmtId="0" fontId="16" fillId="0" borderId="2" xfId="0" applyFont="1" applyFill="1" applyBorder="1" applyAlignment="1">
      <alignment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2" xfId="0" quotePrefix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444213</xdr:colOff>
      <xdr:row>0</xdr:row>
      <xdr:rowOff>59747</xdr:rowOff>
    </xdr:from>
    <xdr:to>
      <xdr:col>6</xdr:col>
      <xdr:colOff>161697</xdr:colOff>
      <xdr:row>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7329B7-5C51-4620-A1C1-D5C3FD683F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6" t="8139" r="9762" b="77279"/>
        <a:stretch>
          <a:fillRect/>
        </a:stretch>
      </xdr:blipFill>
      <xdr:spPr bwMode="auto">
        <a:xfrm>
          <a:off x="720438" y="59747"/>
          <a:ext cx="4880034" cy="108325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225137</xdr:colOff>
      <xdr:row>0</xdr:row>
      <xdr:rowOff>69272</xdr:rowOff>
    </xdr:from>
    <xdr:to>
      <xdr:col>6</xdr:col>
      <xdr:colOff>30605</xdr:colOff>
      <xdr:row>5</xdr:row>
      <xdr:rowOff>181841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FB0013-80B9-4FB8-B2B3-29DBA85B0F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6" t="8139" r="9762" b="77279"/>
        <a:stretch>
          <a:fillRect/>
        </a:stretch>
      </xdr:blipFill>
      <xdr:spPr bwMode="auto">
        <a:xfrm>
          <a:off x="502228" y="69272"/>
          <a:ext cx="4671877" cy="106506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196563</xdr:colOff>
      <xdr:row>0</xdr:row>
      <xdr:rowOff>0</xdr:rowOff>
    </xdr:from>
    <xdr:to>
      <xdr:col>6</xdr:col>
      <xdr:colOff>190501</xdr:colOff>
      <xdr:row>5</xdr:row>
      <xdr:rowOff>162519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0AF377-4B7E-4B8F-ACFD-083D18EF4B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6" t="8139" r="9762" b="77279"/>
        <a:stretch>
          <a:fillRect/>
        </a:stretch>
      </xdr:blipFill>
      <xdr:spPr bwMode="auto">
        <a:xfrm>
          <a:off x="472788" y="0"/>
          <a:ext cx="5023138" cy="111501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24C6-C2A0-4CA3-95B9-B06E0238E3D9}">
  <dimension ref="A1:R360"/>
  <sheetViews>
    <sheetView tabSelected="1" topLeftCell="A15" zoomScale="85" zoomScaleNormal="85" workbookViewId="0">
      <selection activeCell="IW17" sqref="IW17"/>
    </sheetView>
  </sheetViews>
  <sheetFormatPr defaultRowHeight="12.75" customHeight="1" zeroHeight="1" x14ac:dyDescent="0.2"/>
  <cols>
    <col min="1" max="1" width="4.140625" customWidth="1"/>
    <col min="2" max="2" width="8.28515625" customWidth="1"/>
    <col min="3" max="3" width="13.7109375" customWidth="1"/>
    <col min="4" max="4" width="44.85546875" customWidth="1"/>
    <col min="5" max="5" width="4.7109375" customWidth="1"/>
    <col min="6" max="6" width="5.85546875" customWidth="1"/>
    <col min="7" max="7" width="9.28515625" customWidth="1"/>
    <col min="8" max="9" width="5.28515625" customWidth="1"/>
    <col min="10" max="12" width="0" hidden="1" customWidth="1"/>
    <col min="13" max="13" width="11.5703125" hidden="1" customWidth="1"/>
    <col min="14" max="14" width="24.7109375" hidden="1" customWidth="1"/>
    <col min="15" max="256" width="0" hidden="1" customWidth="1"/>
  </cols>
  <sheetData>
    <row r="1" spans="1:18" ht="15" x14ac:dyDescent="0.25">
      <c r="A1" s="94"/>
      <c r="B1" s="94"/>
      <c r="C1" s="94"/>
      <c r="D1" s="94"/>
      <c r="E1" s="94"/>
      <c r="F1" s="4"/>
      <c r="G1" s="2"/>
    </row>
    <row r="2" spans="1:18" ht="15" x14ac:dyDescent="0.25">
      <c r="A2" s="94"/>
      <c r="B2" s="94"/>
      <c r="C2" s="94"/>
      <c r="D2" s="94"/>
      <c r="E2" s="94"/>
      <c r="F2" s="4"/>
      <c r="G2" s="2"/>
    </row>
    <row r="3" spans="1:18" ht="15" x14ac:dyDescent="0.25">
      <c r="A3" s="94"/>
      <c r="B3" s="94"/>
      <c r="C3" s="94"/>
      <c r="D3" s="94"/>
      <c r="E3" s="94"/>
      <c r="F3" s="4"/>
      <c r="G3" s="2"/>
    </row>
    <row r="4" spans="1:18" ht="15" x14ac:dyDescent="0.25">
      <c r="A4" s="94"/>
      <c r="B4" s="94"/>
      <c r="C4" s="94"/>
      <c r="D4" s="94"/>
      <c r="E4" s="94"/>
      <c r="F4" s="4"/>
      <c r="G4" s="2"/>
    </row>
    <row r="5" spans="1:18" ht="15" x14ac:dyDescent="0.25">
      <c r="A5" s="4"/>
      <c r="B5" s="4"/>
      <c r="C5" s="4"/>
      <c r="D5" s="4"/>
      <c r="E5" s="4"/>
      <c r="F5" s="4"/>
      <c r="G5" s="2"/>
    </row>
    <row r="6" spans="1:18" ht="15" x14ac:dyDescent="0.25">
      <c r="A6" s="4"/>
      <c r="B6" s="4"/>
      <c r="C6" s="4"/>
      <c r="D6" s="4"/>
      <c r="E6" s="4"/>
      <c r="F6" s="4"/>
      <c r="G6" s="2"/>
    </row>
    <row r="7" spans="1:18" ht="18" x14ac:dyDescent="0.2">
      <c r="A7" s="95" t="s">
        <v>1087</v>
      </c>
      <c r="B7" s="95"/>
      <c r="C7" s="95"/>
      <c r="D7" s="95"/>
      <c r="E7" s="95"/>
      <c r="F7" s="95"/>
      <c r="G7" s="95"/>
      <c r="H7" s="9"/>
    </row>
    <row r="8" spans="1:18" ht="15.75" customHeight="1" x14ac:dyDescent="0.2">
      <c r="A8" s="10" t="s">
        <v>50</v>
      </c>
      <c r="B8" s="10"/>
      <c r="C8" s="10"/>
      <c r="D8" s="19"/>
      <c r="E8" s="8"/>
      <c r="F8" s="8"/>
      <c r="G8" s="7"/>
      <c r="H8" s="9"/>
    </row>
    <row r="9" spans="1:18" ht="15.75" customHeight="1" x14ac:dyDescent="0.2">
      <c r="A9" s="88" t="s">
        <v>0</v>
      </c>
      <c r="B9" s="89"/>
      <c r="C9" s="89"/>
      <c r="D9" s="90" t="s">
        <v>1</v>
      </c>
      <c r="E9" s="92" t="s">
        <v>9</v>
      </c>
      <c r="F9" s="86" t="s">
        <v>10</v>
      </c>
      <c r="G9" s="96" t="s">
        <v>48</v>
      </c>
      <c r="H9" s="9"/>
    </row>
    <row r="10" spans="1:18" ht="15.75" customHeight="1" x14ac:dyDescent="0.2">
      <c r="A10" s="20" t="s">
        <v>2</v>
      </c>
      <c r="B10" s="20" t="s">
        <v>3</v>
      </c>
      <c r="C10" s="21" t="s">
        <v>4</v>
      </c>
      <c r="D10" s="91"/>
      <c r="E10" s="93"/>
      <c r="F10" s="87"/>
      <c r="G10" s="97"/>
      <c r="H10" s="9"/>
    </row>
    <row r="11" spans="1:18" ht="15.75" customHeight="1" x14ac:dyDescent="0.25">
      <c r="A11" s="16">
        <v>1</v>
      </c>
      <c r="B11" s="28">
        <v>10273</v>
      </c>
      <c r="C11" s="29" t="s">
        <v>1089</v>
      </c>
      <c r="D11" s="30" t="s">
        <v>1090</v>
      </c>
      <c r="E11" s="31" t="s">
        <v>6</v>
      </c>
      <c r="F11" s="31" t="s">
        <v>11</v>
      </c>
      <c r="G11" s="31" t="s">
        <v>14</v>
      </c>
      <c r="H11" s="9"/>
    </row>
    <row r="12" spans="1:18" ht="15.75" customHeight="1" x14ac:dyDescent="0.25">
      <c r="A12" s="16">
        <v>2</v>
      </c>
      <c r="B12" s="28">
        <v>10295</v>
      </c>
      <c r="C12" s="29" t="s">
        <v>1091</v>
      </c>
      <c r="D12" s="30" t="s">
        <v>1092</v>
      </c>
      <c r="E12" s="31" t="s">
        <v>6</v>
      </c>
      <c r="F12" s="31" t="s">
        <v>49</v>
      </c>
      <c r="G12" s="31" t="s">
        <v>13</v>
      </c>
      <c r="H12" s="9"/>
    </row>
    <row r="13" spans="1:18" ht="15.75" customHeight="1" x14ac:dyDescent="0.25">
      <c r="A13" s="16">
        <v>3</v>
      </c>
      <c r="B13" s="28">
        <v>10296</v>
      </c>
      <c r="C13" s="29" t="s">
        <v>1093</v>
      </c>
      <c r="D13" s="30" t="s">
        <v>1094</v>
      </c>
      <c r="E13" s="31" t="s">
        <v>6</v>
      </c>
      <c r="F13" s="31" t="s">
        <v>11</v>
      </c>
      <c r="G13" s="31" t="s">
        <v>13</v>
      </c>
      <c r="H13" s="9"/>
    </row>
    <row r="14" spans="1:18" ht="15.75" customHeight="1" x14ac:dyDescent="0.25">
      <c r="A14" s="16">
        <v>4</v>
      </c>
      <c r="B14" s="28">
        <v>10304</v>
      </c>
      <c r="C14" s="29" t="s">
        <v>1095</v>
      </c>
      <c r="D14" s="32" t="s">
        <v>1096</v>
      </c>
      <c r="E14" s="31" t="s">
        <v>5</v>
      </c>
      <c r="F14" s="31" t="s">
        <v>11</v>
      </c>
      <c r="G14" s="31" t="s">
        <v>14</v>
      </c>
      <c r="H14" s="9"/>
      <c r="K14" s="11"/>
      <c r="L14" s="12"/>
      <c r="M14" s="13"/>
      <c r="N14" s="14"/>
      <c r="O14" s="12"/>
      <c r="P14" s="12"/>
      <c r="Q14" s="15"/>
      <c r="R14" s="15"/>
    </row>
    <row r="15" spans="1:18" ht="15.75" customHeight="1" x14ac:dyDescent="0.25">
      <c r="A15" s="98">
        <v>5</v>
      </c>
      <c r="B15" s="99">
        <v>10310</v>
      </c>
      <c r="C15" s="100" t="s">
        <v>1457</v>
      </c>
      <c r="D15" s="103" t="s">
        <v>1458</v>
      </c>
      <c r="E15" s="102" t="s">
        <v>6</v>
      </c>
      <c r="F15" s="102" t="s">
        <v>11</v>
      </c>
      <c r="G15" s="102" t="s">
        <v>13</v>
      </c>
      <c r="H15" s="9"/>
    </row>
    <row r="16" spans="1:18" ht="15.75" customHeight="1" x14ac:dyDescent="0.25">
      <c r="A16" s="16">
        <v>6</v>
      </c>
      <c r="B16" s="28">
        <v>10317</v>
      </c>
      <c r="C16" s="29" t="s">
        <v>1097</v>
      </c>
      <c r="D16" s="30" t="s">
        <v>1098</v>
      </c>
      <c r="E16" s="31" t="s">
        <v>6</v>
      </c>
      <c r="F16" s="31" t="s">
        <v>11</v>
      </c>
      <c r="G16" s="31" t="s">
        <v>14</v>
      </c>
      <c r="H16" s="9"/>
    </row>
    <row r="17" spans="1:17" ht="15.75" customHeight="1" x14ac:dyDescent="0.25">
      <c r="A17" s="16">
        <v>7</v>
      </c>
      <c r="B17" s="28">
        <v>10321</v>
      </c>
      <c r="C17" s="29" t="s">
        <v>1099</v>
      </c>
      <c r="D17" s="30" t="s">
        <v>1100</v>
      </c>
      <c r="E17" s="31" t="s">
        <v>6</v>
      </c>
      <c r="F17" s="31" t="s">
        <v>11</v>
      </c>
      <c r="G17" s="31" t="s">
        <v>14</v>
      </c>
      <c r="H17" s="9"/>
    </row>
    <row r="18" spans="1:17" ht="15.75" customHeight="1" x14ac:dyDescent="0.25">
      <c r="A18" s="16">
        <v>8</v>
      </c>
      <c r="B18" s="28">
        <v>10328</v>
      </c>
      <c r="C18" s="29" t="s">
        <v>1101</v>
      </c>
      <c r="D18" s="32" t="s">
        <v>1102</v>
      </c>
      <c r="E18" s="31" t="s">
        <v>6</v>
      </c>
      <c r="F18" s="31" t="s">
        <v>49</v>
      </c>
      <c r="G18" s="31" t="s">
        <v>13</v>
      </c>
      <c r="H18" s="9"/>
    </row>
    <row r="19" spans="1:17" ht="15.75" customHeight="1" x14ac:dyDescent="0.25">
      <c r="A19" s="16">
        <v>9</v>
      </c>
      <c r="B19" s="28">
        <v>10329</v>
      </c>
      <c r="C19" s="29" t="s">
        <v>1103</v>
      </c>
      <c r="D19" s="30" t="s">
        <v>1104</v>
      </c>
      <c r="E19" s="31" t="s">
        <v>6</v>
      </c>
      <c r="F19" s="31" t="s">
        <v>11</v>
      </c>
      <c r="G19" s="31" t="s">
        <v>14</v>
      </c>
      <c r="H19" s="9"/>
    </row>
    <row r="20" spans="1:17" ht="15.75" customHeight="1" x14ac:dyDescent="0.25">
      <c r="A20" s="16">
        <v>10</v>
      </c>
      <c r="B20" s="28">
        <v>10332</v>
      </c>
      <c r="C20" s="29" t="s">
        <v>1105</v>
      </c>
      <c r="D20" s="30" t="s">
        <v>1106</v>
      </c>
      <c r="E20" s="31" t="s">
        <v>5</v>
      </c>
      <c r="F20" s="31" t="s">
        <v>49</v>
      </c>
      <c r="G20" s="31" t="s">
        <v>13</v>
      </c>
      <c r="H20" s="9"/>
    </row>
    <row r="21" spans="1:17" ht="15.75" customHeight="1" x14ac:dyDescent="0.25">
      <c r="A21" s="16">
        <v>11</v>
      </c>
      <c r="B21" s="28">
        <v>10342</v>
      </c>
      <c r="C21" s="29" t="s">
        <v>1107</v>
      </c>
      <c r="D21" s="32" t="s">
        <v>1108</v>
      </c>
      <c r="E21" s="31" t="s">
        <v>5</v>
      </c>
      <c r="F21" s="31" t="s">
        <v>49</v>
      </c>
      <c r="G21" s="31" t="s">
        <v>13</v>
      </c>
      <c r="H21" s="9"/>
    </row>
    <row r="22" spans="1:17" ht="15.75" customHeight="1" x14ac:dyDescent="0.25">
      <c r="A22" s="16">
        <v>12</v>
      </c>
      <c r="B22" s="28">
        <v>10344</v>
      </c>
      <c r="C22" s="26" t="s">
        <v>1109</v>
      </c>
      <c r="D22" s="27" t="s">
        <v>1110</v>
      </c>
      <c r="E22" s="18" t="s">
        <v>6</v>
      </c>
      <c r="F22" s="31" t="s">
        <v>49</v>
      </c>
      <c r="G22" s="31" t="s">
        <v>13</v>
      </c>
      <c r="H22" s="9"/>
    </row>
    <row r="23" spans="1:17" ht="15.75" customHeight="1" x14ac:dyDescent="0.25">
      <c r="A23" s="16">
        <v>13</v>
      </c>
      <c r="B23" s="28">
        <v>10345</v>
      </c>
      <c r="C23" s="29" t="s">
        <v>1111</v>
      </c>
      <c r="D23" s="30" t="s">
        <v>1112</v>
      </c>
      <c r="E23" s="31" t="s">
        <v>6</v>
      </c>
      <c r="F23" s="31" t="s">
        <v>49</v>
      </c>
      <c r="G23" s="31" t="s">
        <v>13</v>
      </c>
      <c r="H23" s="9"/>
    </row>
    <row r="24" spans="1:17" ht="15.75" customHeight="1" x14ac:dyDescent="0.25">
      <c r="A24" s="16">
        <v>14</v>
      </c>
      <c r="B24" s="28">
        <v>10346</v>
      </c>
      <c r="C24" s="29" t="s">
        <v>1113</v>
      </c>
      <c r="D24" s="30" t="s">
        <v>1114</v>
      </c>
      <c r="E24" s="31" t="s">
        <v>6</v>
      </c>
      <c r="F24" s="31" t="s">
        <v>49</v>
      </c>
      <c r="G24" s="31" t="s">
        <v>14</v>
      </c>
      <c r="H24" s="9"/>
    </row>
    <row r="25" spans="1:17" ht="15.75" customHeight="1" x14ac:dyDescent="0.25">
      <c r="A25" s="16">
        <v>15</v>
      </c>
      <c r="B25" s="28">
        <v>10347</v>
      </c>
      <c r="C25" s="29" t="s">
        <v>1115</v>
      </c>
      <c r="D25" s="30" t="s">
        <v>1116</v>
      </c>
      <c r="E25" s="31" t="s">
        <v>6</v>
      </c>
      <c r="F25" s="31" t="s">
        <v>11</v>
      </c>
      <c r="G25" s="31" t="s">
        <v>14</v>
      </c>
      <c r="H25" s="9"/>
    </row>
    <row r="26" spans="1:17" ht="15.75" customHeight="1" x14ac:dyDescent="0.25">
      <c r="A26" s="16">
        <v>16</v>
      </c>
      <c r="B26" s="28">
        <v>10360</v>
      </c>
      <c r="C26" s="29" t="s">
        <v>1117</v>
      </c>
      <c r="D26" s="30" t="s">
        <v>1118</v>
      </c>
      <c r="E26" s="31" t="s">
        <v>6</v>
      </c>
      <c r="F26" s="31" t="s">
        <v>49</v>
      </c>
      <c r="G26" s="31" t="s">
        <v>14</v>
      </c>
      <c r="H26" s="9"/>
      <c r="M26" s="22"/>
      <c r="N26" s="23"/>
      <c r="O26" s="24"/>
      <c r="P26" s="25"/>
      <c r="Q26" s="25"/>
    </row>
    <row r="27" spans="1:17" ht="15.75" customHeight="1" x14ac:dyDescent="0.25">
      <c r="A27" s="16">
        <v>17</v>
      </c>
      <c r="B27" s="28">
        <v>10367</v>
      </c>
      <c r="C27" s="29" t="s">
        <v>1119</v>
      </c>
      <c r="D27" s="30" t="s">
        <v>1120</v>
      </c>
      <c r="E27" s="31" t="s">
        <v>6</v>
      </c>
      <c r="F27" s="31" t="s">
        <v>49</v>
      </c>
      <c r="G27" s="31" t="s">
        <v>14</v>
      </c>
      <c r="H27" s="9"/>
    </row>
    <row r="28" spans="1:17" ht="15.75" customHeight="1" x14ac:dyDescent="0.25">
      <c r="A28" s="16">
        <v>18</v>
      </c>
      <c r="B28" s="28">
        <v>10378</v>
      </c>
      <c r="C28" s="29" t="s">
        <v>1121</v>
      </c>
      <c r="D28" s="30" t="s">
        <v>1122</v>
      </c>
      <c r="E28" s="31" t="s">
        <v>6</v>
      </c>
      <c r="F28" s="31" t="s">
        <v>11</v>
      </c>
      <c r="G28" s="31" t="s">
        <v>14</v>
      </c>
      <c r="H28" s="9"/>
    </row>
    <row r="29" spans="1:17" ht="15.75" customHeight="1" x14ac:dyDescent="0.25">
      <c r="A29" s="16">
        <v>19</v>
      </c>
      <c r="B29" s="28">
        <v>10381</v>
      </c>
      <c r="C29" s="29" t="s">
        <v>1123</v>
      </c>
      <c r="D29" s="30" t="s">
        <v>1124</v>
      </c>
      <c r="E29" s="31" t="s">
        <v>5</v>
      </c>
      <c r="F29" s="31" t="s">
        <v>49</v>
      </c>
      <c r="G29" s="31" t="s">
        <v>13</v>
      </c>
      <c r="H29" s="9"/>
    </row>
    <row r="30" spans="1:17" ht="15.75" customHeight="1" x14ac:dyDescent="0.25">
      <c r="A30" s="16">
        <v>20</v>
      </c>
      <c r="B30" s="28">
        <v>10392</v>
      </c>
      <c r="C30" s="29" t="s">
        <v>1125</v>
      </c>
      <c r="D30" s="32" t="s">
        <v>1126</v>
      </c>
      <c r="E30" s="31" t="s">
        <v>5</v>
      </c>
      <c r="F30" s="31" t="s">
        <v>49</v>
      </c>
      <c r="G30" s="31" t="s">
        <v>13</v>
      </c>
      <c r="H30" s="9"/>
    </row>
    <row r="31" spans="1:17" ht="15.75" customHeight="1" x14ac:dyDescent="0.25">
      <c r="A31" s="16">
        <v>21</v>
      </c>
      <c r="B31" s="28">
        <v>10407</v>
      </c>
      <c r="C31" s="29" t="s">
        <v>1127</v>
      </c>
      <c r="D31" s="30" t="s">
        <v>1128</v>
      </c>
      <c r="E31" s="31" t="s">
        <v>6</v>
      </c>
      <c r="F31" s="31" t="s">
        <v>11</v>
      </c>
      <c r="G31" s="31" t="s">
        <v>13</v>
      </c>
      <c r="H31" s="9"/>
    </row>
    <row r="32" spans="1:17" ht="15.75" customHeight="1" x14ac:dyDescent="0.25">
      <c r="A32" s="16">
        <v>22</v>
      </c>
      <c r="B32" s="28">
        <v>10409</v>
      </c>
      <c r="C32" s="29" t="s">
        <v>1129</v>
      </c>
      <c r="D32" s="32" t="s">
        <v>1130</v>
      </c>
      <c r="E32" s="31" t="s">
        <v>6</v>
      </c>
      <c r="F32" s="31" t="s">
        <v>49</v>
      </c>
      <c r="G32" s="31" t="s">
        <v>13</v>
      </c>
      <c r="H32" s="9"/>
    </row>
    <row r="33" spans="1:8" ht="15.75" customHeight="1" x14ac:dyDescent="0.25">
      <c r="A33" s="16">
        <v>23</v>
      </c>
      <c r="B33" s="28">
        <v>10417</v>
      </c>
      <c r="C33" s="29" t="s">
        <v>1131</v>
      </c>
      <c r="D33" s="30" t="s">
        <v>1132</v>
      </c>
      <c r="E33" s="31" t="s">
        <v>5</v>
      </c>
      <c r="F33" s="31" t="s">
        <v>11</v>
      </c>
      <c r="G33" s="31" t="s">
        <v>14</v>
      </c>
      <c r="H33" s="9"/>
    </row>
    <row r="34" spans="1:8" ht="15.75" customHeight="1" x14ac:dyDescent="0.25">
      <c r="A34" s="16">
        <v>24</v>
      </c>
      <c r="B34" s="28">
        <v>10422</v>
      </c>
      <c r="C34" s="29" t="s">
        <v>1133</v>
      </c>
      <c r="D34" s="32" t="s">
        <v>1134</v>
      </c>
      <c r="E34" s="31" t="s">
        <v>6</v>
      </c>
      <c r="F34" s="31" t="s">
        <v>49</v>
      </c>
      <c r="G34" s="31" t="s">
        <v>14</v>
      </c>
      <c r="H34" s="9"/>
    </row>
    <row r="35" spans="1:8" ht="15.75" customHeight="1" x14ac:dyDescent="0.25">
      <c r="A35" s="16">
        <v>25</v>
      </c>
      <c r="B35" s="28">
        <v>10425</v>
      </c>
      <c r="C35" s="29" t="s">
        <v>1135</v>
      </c>
      <c r="D35" s="30" t="s">
        <v>1136</v>
      </c>
      <c r="E35" s="31" t="s">
        <v>6</v>
      </c>
      <c r="F35" s="31" t="s">
        <v>11</v>
      </c>
      <c r="G35" s="31" t="s">
        <v>13</v>
      </c>
      <c r="H35" s="9"/>
    </row>
    <row r="36" spans="1:8" ht="15.75" customHeight="1" x14ac:dyDescent="0.25">
      <c r="A36" s="16">
        <v>26</v>
      </c>
      <c r="B36" s="28">
        <v>10430</v>
      </c>
      <c r="C36" s="26" t="s">
        <v>1137</v>
      </c>
      <c r="D36" s="27" t="s">
        <v>1138</v>
      </c>
      <c r="E36" s="18" t="s">
        <v>5</v>
      </c>
      <c r="F36" s="31" t="s">
        <v>11</v>
      </c>
      <c r="G36" s="31" t="s">
        <v>13</v>
      </c>
      <c r="H36" s="9"/>
    </row>
    <row r="37" spans="1:8" ht="15.75" customHeight="1" x14ac:dyDescent="0.25">
      <c r="A37" s="16">
        <v>27</v>
      </c>
      <c r="B37" s="28">
        <v>10434</v>
      </c>
      <c r="C37" s="29" t="s">
        <v>1139</v>
      </c>
      <c r="D37" s="30" t="s">
        <v>1140</v>
      </c>
      <c r="E37" s="31" t="s">
        <v>5</v>
      </c>
      <c r="F37" s="31" t="s">
        <v>11</v>
      </c>
      <c r="G37" s="31" t="s">
        <v>13</v>
      </c>
      <c r="H37" s="9"/>
    </row>
    <row r="38" spans="1:8" ht="15.75" customHeight="1" x14ac:dyDescent="0.25">
      <c r="A38" s="16">
        <v>28</v>
      </c>
      <c r="B38" s="28">
        <v>10442</v>
      </c>
      <c r="C38" s="29" t="s">
        <v>1141</v>
      </c>
      <c r="D38" s="30" t="s">
        <v>1142</v>
      </c>
      <c r="E38" s="31" t="s">
        <v>6</v>
      </c>
      <c r="F38" s="31" t="s">
        <v>11</v>
      </c>
      <c r="G38" s="31" t="s">
        <v>14</v>
      </c>
      <c r="H38" s="9"/>
    </row>
    <row r="39" spans="1:8" ht="15.75" customHeight="1" x14ac:dyDescent="0.25">
      <c r="A39" s="16">
        <v>29</v>
      </c>
      <c r="B39" s="28">
        <v>10443</v>
      </c>
      <c r="C39" s="29" t="s">
        <v>1143</v>
      </c>
      <c r="D39" s="30" t="s">
        <v>1144</v>
      </c>
      <c r="E39" s="31" t="s">
        <v>6</v>
      </c>
      <c r="F39" s="31" t="s">
        <v>11</v>
      </c>
      <c r="G39" s="31" t="s">
        <v>14</v>
      </c>
      <c r="H39" s="9"/>
    </row>
    <row r="40" spans="1:8" ht="15.75" customHeight="1" x14ac:dyDescent="0.25">
      <c r="A40" s="16">
        <v>30</v>
      </c>
      <c r="B40" s="28">
        <v>10454</v>
      </c>
      <c r="C40" s="29" t="s">
        <v>1145</v>
      </c>
      <c r="D40" s="30" t="s">
        <v>1146</v>
      </c>
      <c r="E40" s="31" t="s">
        <v>6</v>
      </c>
      <c r="F40" s="31" t="s">
        <v>11</v>
      </c>
      <c r="G40" s="31" t="s">
        <v>13</v>
      </c>
      <c r="H40" s="9"/>
    </row>
    <row r="41" spans="1:8" ht="15.75" customHeight="1" x14ac:dyDescent="0.25">
      <c r="A41" s="16">
        <v>31</v>
      </c>
      <c r="B41" s="28">
        <v>10457</v>
      </c>
      <c r="C41" s="29" t="s">
        <v>1147</v>
      </c>
      <c r="D41" s="30" t="s">
        <v>1148</v>
      </c>
      <c r="E41" s="31" t="s">
        <v>6</v>
      </c>
      <c r="F41" s="31" t="s">
        <v>11</v>
      </c>
      <c r="G41" s="31" t="s">
        <v>14</v>
      </c>
      <c r="H41" s="9"/>
    </row>
    <row r="42" spans="1:8" ht="15.75" customHeight="1" x14ac:dyDescent="0.25">
      <c r="A42" s="16">
        <v>32</v>
      </c>
      <c r="B42" s="28">
        <v>10460</v>
      </c>
      <c r="C42" s="29" t="s">
        <v>1149</v>
      </c>
      <c r="D42" s="30" t="s">
        <v>1150</v>
      </c>
      <c r="E42" s="31" t="s">
        <v>6</v>
      </c>
      <c r="F42" s="31" t="s">
        <v>11</v>
      </c>
      <c r="G42" s="31" t="s">
        <v>14</v>
      </c>
      <c r="H42" s="9"/>
    </row>
    <row r="43" spans="1:8" ht="15.75" customHeight="1" x14ac:dyDescent="0.25">
      <c r="A43" s="16">
        <v>33</v>
      </c>
      <c r="B43" s="28">
        <v>10484</v>
      </c>
      <c r="C43" s="29" t="s">
        <v>1151</v>
      </c>
      <c r="D43" s="30" t="s">
        <v>1152</v>
      </c>
      <c r="E43" s="31" t="s">
        <v>6</v>
      </c>
      <c r="F43" s="31" t="s">
        <v>11</v>
      </c>
      <c r="G43" s="31" t="s">
        <v>13</v>
      </c>
      <c r="H43" s="9"/>
    </row>
    <row r="44" spans="1:8" ht="15.75" customHeight="1" x14ac:dyDescent="0.25">
      <c r="A44" s="16">
        <v>34</v>
      </c>
      <c r="B44" s="33">
        <v>10495</v>
      </c>
      <c r="C44" s="34" t="s">
        <v>1153</v>
      </c>
      <c r="D44" s="35" t="s">
        <v>1154</v>
      </c>
      <c r="E44" s="36" t="s">
        <v>5</v>
      </c>
      <c r="F44" s="36" t="s">
        <v>11</v>
      </c>
      <c r="G44" s="31" t="s">
        <v>13</v>
      </c>
      <c r="H44" s="9"/>
    </row>
    <row r="45" spans="1:8" ht="15.75" customHeight="1" x14ac:dyDescent="0.25">
      <c r="A45" s="16">
        <v>35</v>
      </c>
      <c r="B45" s="28">
        <v>10507</v>
      </c>
      <c r="C45" s="29" t="s">
        <v>1155</v>
      </c>
      <c r="D45" s="30" t="s">
        <v>1156</v>
      </c>
      <c r="E45" s="31" t="s">
        <v>6</v>
      </c>
      <c r="F45" s="31" t="s">
        <v>11</v>
      </c>
      <c r="G45" s="31" t="s">
        <v>14</v>
      </c>
      <c r="H45" s="9"/>
    </row>
    <row r="46" spans="1:8" ht="15.75" customHeight="1" x14ac:dyDescent="0.25">
      <c r="A46" s="16">
        <v>36</v>
      </c>
      <c r="B46" s="33">
        <v>10510</v>
      </c>
      <c r="C46" s="34" t="s">
        <v>1157</v>
      </c>
      <c r="D46" s="35" t="s">
        <v>1158</v>
      </c>
      <c r="E46" s="36" t="s">
        <v>5</v>
      </c>
      <c r="F46" s="36" t="s">
        <v>11</v>
      </c>
      <c r="G46" s="31" t="s">
        <v>13</v>
      </c>
      <c r="H46" s="9"/>
    </row>
    <row r="47" spans="1:8" ht="15.75" customHeight="1" x14ac:dyDescent="0.2">
      <c r="A47" s="3" t="s">
        <v>5</v>
      </c>
      <c r="B47" s="3">
        <f>COUNTIF(E11:E46,A47)</f>
        <v>10</v>
      </c>
      <c r="C47" s="1" t="s">
        <v>8</v>
      </c>
      <c r="D47" s="6" t="s">
        <v>11</v>
      </c>
      <c r="E47" s="3">
        <f>COUNTIF(F11:F46,D47)</f>
        <v>23</v>
      </c>
      <c r="F47" s="3"/>
      <c r="G47" s="7"/>
      <c r="H47" s="9"/>
    </row>
    <row r="48" spans="1:8" ht="15.75" customHeight="1" x14ac:dyDescent="0.2">
      <c r="A48" s="3" t="s">
        <v>6</v>
      </c>
      <c r="B48" s="5">
        <f>COUNTIF(E11:E46,A48)</f>
        <v>26</v>
      </c>
      <c r="C48" s="1" t="s">
        <v>8</v>
      </c>
      <c r="D48" s="6" t="s">
        <v>49</v>
      </c>
      <c r="E48" s="3">
        <f>COUNTIF(F11:F46,D48)</f>
        <v>13</v>
      </c>
      <c r="F48" s="3"/>
      <c r="G48" s="7"/>
      <c r="H48" s="9"/>
    </row>
    <row r="49" spans="1:8" ht="15.75" customHeight="1" x14ac:dyDescent="0.2">
      <c r="A49" s="3" t="s">
        <v>7</v>
      </c>
      <c r="B49" s="3">
        <f>B47+B48</f>
        <v>36</v>
      </c>
      <c r="C49" s="1" t="s">
        <v>8</v>
      </c>
      <c r="D49" s="6" t="s">
        <v>12</v>
      </c>
      <c r="E49" s="3">
        <f>COUNTIF(F11:F46,D49)</f>
        <v>0</v>
      </c>
      <c r="F49" s="3"/>
      <c r="G49" s="7"/>
      <c r="H49" s="9"/>
    </row>
    <row r="50" spans="1:8" ht="15.75" customHeight="1" x14ac:dyDescent="0.2">
      <c r="D50" s="40" t="s">
        <v>13</v>
      </c>
      <c r="E50" s="41">
        <f>COUNTIF(G11:G46,D50)</f>
        <v>19</v>
      </c>
      <c r="F50" s="3"/>
      <c r="G50" s="7"/>
      <c r="H50" s="9"/>
    </row>
    <row r="51" spans="1:8" ht="15.75" customHeight="1" x14ac:dyDescent="0.2">
      <c r="D51" s="40" t="s">
        <v>14</v>
      </c>
      <c r="E51" s="41">
        <f>COUNTIF(G11:G46,D51)</f>
        <v>17</v>
      </c>
      <c r="F51" s="3"/>
      <c r="G51" s="7"/>
      <c r="H51" s="9"/>
    </row>
    <row r="52" spans="1:8" ht="15.75" customHeight="1" x14ac:dyDescent="0.2">
      <c r="A52" s="10" t="s">
        <v>51</v>
      </c>
      <c r="B52" s="10"/>
      <c r="C52" s="10"/>
      <c r="D52" s="19"/>
      <c r="E52" s="8"/>
      <c r="F52" s="8"/>
      <c r="G52" s="7"/>
      <c r="H52" s="37"/>
    </row>
    <row r="53" spans="1:8" ht="15.75" customHeight="1" x14ac:dyDescent="0.2">
      <c r="A53" s="88" t="s">
        <v>0</v>
      </c>
      <c r="B53" s="89"/>
      <c r="C53" s="89"/>
      <c r="D53" s="90" t="s">
        <v>1</v>
      </c>
      <c r="E53" s="92" t="s">
        <v>9</v>
      </c>
      <c r="F53" s="86" t="s">
        <v>10</v>
      </c>
      <c r="G53" s="96" t="s">
        <v>48</v>
      </c>
      <c r="H53" s="37"/>
    </row>
    <row r="54" spans="1:8" ht="15.75" customHeight="1" x14ac:dyDescent="0.2">
      <c r="A54" s="20" t="s">
        <v>2</v>
      </c>
      <c r="B54" s="20" t="s">
        <v>3</v>
      </c>
      <c r="C54" s="21" t="s">
        <v>4</v>
      </c>
      <c r="D54" s="91"/>
      <c r="E54" s="93"/>
      <c r="F54" s="87"/>
      <c r="G54" s="97"/>
      <c r="H54" s="37"/>
    </row>
    <row r="55" spans="1:8" ht="15.75" customHeight="1" x14ac:dyDescent="0.25">
      <c r="A55" s="16">
        <v>1</v>
      </c>
      <c r="B55" s="28">
        <v>10276</v>
      </c>
      <c r="C55" s="29" t="s">
        <v>1159</v>
      </c>
      <c r="D55" s="30" t="s">
        <v>1160</v>
      </c>
      <c r="E55" s="31" t="s">
        <v>6</v>
      </c>
      <c r="F55" s="31" t="s">
        <v>12</v>
      </c>
      <c r="G55" s="31" t="s">
        <v>13</v>
      </c>
      <c r="H55" s="37"/>
    </row>
    <row r="56" spans="1:8" ht="15.75" customHeight="1" x14ac:dyDescent="0.25">
      <c r="A56" s="16">
        <v>2</v>
      </c>
      <c r="B56" s="28">
        <v>10278</v>
      </c>
      <c r="C56" s="29" t="s">
        <v>1161</v>
      </c>
      <c r="D56" s="30" t="s">
        <v>1162</v>
      </c>
      <c r="E56" s="31" t="s">
        <v>5</v>
      </c>
      <c r="F56" s="31" t="s">
        <v>12</v>
      </c>
      <c r="G56" s="31" t="s">
        <v>13</v>
      </c>
      <c r="H56" s="37"/>
    </row>
    <row r="57" spans="1:8" ht="15.75" customHeight="1" x14ac:dyDescent="0.25">
      <c r="A57" s="16">
        <v>3</v>
      </c>
      <c r="B57" s="28">
        <v>10282</v>
      </c>
      <c r="C57" s="29" t="s">
        <v>1163</v>
      </c>
      <c r="D57" s="30" t="s">
        <v>1164</v>
      </c>
      <c r="E57" s="31" t="s">
        <v>6</v>
      </c>
      <c r="F57" s="31" t="s">
        <v>11</v>
      </c>
      <c r="G57" s="31" t="s">
        <v>14</v>
      </c>
      <c r="H57" s="37"/>
    </row>
    <row r="58" spans="1:8" ht="15.75" customHeight="1" x14ac:dyDescent="0.25">
      <c r="A58" s="16">
        <v>4</v>
      </c>
      <c r="B58" s="28">
        <v>10298</v>
      </c>
      <c r="C58" s="29" t="s">
        <v>1165</v>
      </c>
      <c r="D58" s="30" t="s">
        <v>1166</v>
      </c>
      <c r="E58" s="31" t="s">
        <v>6</v>
      </c>
      <c r="F58" s="31" t="s">
        <v>12</v>
      </c>
      <c r="G58" s="31" t="s">
        <v>14</v>
      </c>
      <c r="H58" s="37"/>
    </row>
    <row r="59" spans="1:8" ht="15.75" customHeight="1" x14ac:dyDescent="0.25">
      <c r="A59" s="16">
        <v>5</v>
      </c>
      <c r="B59" s="28">
        <v>10303</v>
      </c>
      <c r="C59" s="29" t="s">
        <v>1167</v>
      </c>
      <c r="D59" s="32" t="s">
        <v>1168</v>
      </c>
      <c r="E59" s="31" t="s">
        <v>6</v>
      </c>
      <c r="F59" s="31" t="s">
        <v>11</v>
      </c>
      <c r="G59" s="31" t="s">
        <v>14</v>
      </c>
      <c r="H59" s="37"/>
    </row>
    <row r="60" spans="1:8" ht="15.75" customHeight="1" x14ac:dyDescent="0.25">
      <c r="A60" s="16">
        <v>6</v>
      </c>
      <c r="B60" s="28">
        <v>10313</v>
      </c>
      <c r="C60" s="29" t="s">
        <v>1169</v>
      </c>
      <c r="D60" s="30" t="s">
        <v>1170</v>
      </c>
      <c r="E60" s="31" t="s">
        <v>6</v>
      </c>
      <c r="F60" s="31" t="s">
        <v>11</v>
      </c>
      <c r="G60" s="31" t="s">
        <v>14</v>
      </c>
      <c r="H60" s="37"/>
    </row>
    <row r="61" spans="1:8" ht="15.75" customHeight="1" x14ac:dyDescent="0.25">
      <c r="A61" s="16">
        <v>7</v>
      </c>
      <c r="B61" s="28">
        <v>10330</v>
      </c>
      <c r="C61" s="29" t="s">
        <v>1171</v>
      </c>
      <c r="D61" s="30" t="s">
        <v>1172</v>
      </c>
      <c r="E61" s="31" t="s">
        <v>6</v>
      </c>
      <c r="F61" s="31" t="s">
        <v>11</v>
      </c>
      <c r="G61" s="31" t="s">
        <v>14</v>
      </c>
      <c r="H61" s="37"/>
    </row>
    <row r="62" spans="1:8" ht="15.75" customHeight="1" x14ac:dyDescent="0.25">
      <c r="A62" s="16">
        <v>8</v>
      </c>
      <c r="B62" s="28">
        <v>10331</v>
      </c>
      <c r="C62" s="29" t="s">
        <v>1173</v>
      </c>
      <c r="D62" s="32" t="s">
        <v>1174</v>
      </c>
      <c r="E62" s="31" t="s">
        <v>6</v>
      </c>
      <c r="F62" s="31" t="s">
        <v>11</v>
      </c>
      <c r="G62" s="31" t="s">
        <v>14</v>
      </c>
      <c r="H62" s="37"/>
    </row>
    <row r="63" spans="1:8" ht="15.75" customHeight="1" x14ac:dyDescent="0.25">
      <c r="A63" s="16">
        <v>9</v>
      </c>
      <c r="B63" s="28">
        <v>10336</v>
      </c>
      <c r="C63" s="34" t="s">
        <v>1175</v>
      </c>
      <c r="D63" s="32" t="s">
        <v>1176</v>
      </c>
      <c r="E63" s="31" t="s">
        <v>6</v>
      </c>
      <c r="F63" s="31" t="s">
        <v>12</v>
      </c>
      <c r="G63" s="31" t="s">
        <v>13</v>
      </c>
      <c r="H63" s="37"/>
    </row>
    <row r="64" spans="1:8" ht="15.75" customHeight="1" x14ac:dyDescent="0.25">
      <c r="A64" s="16">
        <v>10</v>
      </c>
      <c r="B64" s="28">
        <v>10340</v>
      </c>
      <c r="C64" s="29" t="s">
        <v>1177</v>
      </c>
      <c r="D64" s="30" t="s">
        <v>1178</v>
      </c>
      <c r="E64" s="31" t="s">
        <v>6</v>
      </c>
      <c r="F64" s="31" t="s">
        <v>11</v>
      </c>
      <c r="G64" s="31" t="s">
        <v>13</v>
      </c>
      <c r="H64" s="37"/>
    </row>
    <row r="65" spans="1:8" ht="15.75" customHeight="1" x14ac:dyDescent="0.25">
      <c r="A65" s="16">
        <v>11</v>
      </c>
      <c r="B65" s="28">
        <v>10366</v>
      </c>
      <c r="C65" s="29" t="s">
        <v>1179</v>
      </c>
      <c r="D65" s="32" t="s">
        <v>1180</v>
      </c>
      <c r="E65" s="31" t="s">
        <v>5</v>
      </c>
      <c r="F65" s="31" t="s">
        <v>12</v>
      </c>
      <c r="G65" s="31" t="s">
        <v>13</v>
      </c>
      <c r="H65" s="37"/>
    </row>
    <row r="66" spans="1:8" ht="15.75" customHeight="1" x14ac:dyDescent="0.25">
      <c r="A66" s="16">
        <v>12</v>
      </c>
      <c r="B66" s="28">
        <v>10369</v>
      </c>
      <c r="C66" s="29" t="s">
        <v>1181</v>
      </c>
      <c r="D66" s="30" t="s">
        <v>1182</v>
      </c>
      <c r="E66" s="31" t="s">
        <v>6</v>
      </c>
      <c r="F66" s="31" t="s">
        <v>12</v>
      </c>
      <c r="G66" s="31" t="s">
        <v>13</v>
      </c>
      <c r="H66" s="37"/>
    </row>
    <row r="67" spans="1:8" ht="15.75" customHeight="1" x14ac:dyDescent="0.25">
      <c r="A67" s="16">
        <v>13</v>
      </c>
      <c r="B67" s="28">
        <v>10370</v>
      </c>
      <c r="C67" s="34" t="s">
        <v>1183</v>
      </c>
      <c r="D67" s="30" t="s">
        <v>1184</v>
      </c>
      <c r="E67" s="31" t="s">
        <v>5</v>
      </c>
      <c r="F67" s="31" t="s">
        <v>12</v>
      </c>
      <c r="G67" s="31" t="s">
        <v>13</v>
      </c>
      <c r="H67" s="37"/>
    </row>
    <row r="68" spans="1:8" ht="15.75" customHeight="1" x14ac:dyDescent="0.25">
      <c r="A68" s="16">
        <v>14</v>
      </c>
      <c r="B68" s="28">
        <v>10374</v>
      </c>
      <c r="C68" s="29" t="s">
        <v>1185</v>
      </c>
      <c r="D68" s="30" t="s">
        <v>1186</v>
      </c>
      <c r="E68" s="31" t="s">
        <v>5</v>
      </c>
      <c r="F68" s="31" t="s">
        <v>11</v>
      </c>
      <c r="G68" s="31" t="s">
        <v>13</v>
      </c>
      <c r="H68" s="37"/>
    </row>
    <row r="69" spans="1:8" ht="15.75" customHeight="1" x14ac:dyDescent="0.25">
      <c r="A69" s="16">
        <v>15</v>
      </c>
      <c r="B69" s="28">
        <v>10379</v>
      </c>
      <c r="C69" s="29" t="s">
        <v>1187</v>
      </c>
      <c r="D69" s="30" t="s">
        <v>1188</v>
      </c>
      <c r="E69" s="31" t="s">
        <v>5</v>
      </c>
      <c r="F69" s="31" t="s">
        <v>11</v>
      </c>
      <c r="G69" s="31" t="s">
        <v>14</v>
      </c>
      <c r="H69" s="37"/>
    </row>
    <row r="70" spans="1:8" ht="15.75" customHeight="1" x14ac:dyDescent="0.25">
      <c r="A70" s="16">
        <v>16</v>
      </c>
      <c r="B70" s="28">
        <v>10384</v>
      </c>
      <c r="C70" s="29" t="s">
        <v>1189</v>
      </c>
      <c r="D70" s="32" t="s">
        <v>1190</v>
      </c>
      <c r="E70" s="31" t="s">
        <v>5</v>
      </c>
      <c r="F70" s="31" t="s">
        <v>11</v>
      </c>
      <c r="G70" s="31" t="s">
        <v>13</v>
      </c>
      <c r="H70" s="37"/>
    </row>
    <row r="71" spans="1:8" ht="15.75" customHeight="1" x14ac:dyDescent="0.25">
      <c r="A71" s="16">
        <v>17</v>
      </c>
      <c r="B71" s="28">
        <v>10393</v>
      </c>
      <c r="C71" s="29" t="s">
        <v>1191</v>
      </c>
      <c r="D71" s="30" t="s">
        <v>1192</v>
      </c>
      <c r="E71" s="31" t="s">
        <v>6</v>
      </c>
      <c r="F71" s="31" t="s">
        <v>12</v>
      </c>
      <c r="G71" s="31" t="s">
        <v>13</v>
      </c>
      <c r="H71" s="37"/>
    </row>
    <row r="72" spans="1:8" ht="15.75" customHeight="1" x14ac:dyDescent="0.25">
      <c r="A72" s="16">
        <v>18</v>
      </c>
      <c r="B72" s="28">
        <v>10396</v>
      </c>
      <c r="C72" s="26" t="s">
        <v>1193</v>
      </c>
      <c r="D72" s="27" t="s">
        <v>1194</v>
      </c>
      <c r="E72" s="18" t="s">
        <v>6</v>
      </c>
      <c r="F72" s="31" t="s">
        <v>11</v>
      </c>
      <c r="G72" s="31" t="s">
        <v>14</v>
      </c>
      <c r="H72" s="37"/>
    </row>
    <row r="73" spans="1:8" ht="15.75" customHeight="1" x14ac:dyDescent="0.25">
      <c r="A73" s="16">
        <v>19</v>
      </c>
      <c r="B73" s="28">
        <v>10402</v>
      </c>
      <c r="C73" s="29" t="s">
        <v>1195</v>
      </c>
      <c r="D73" s="30" t="s">
        <v>1196</v>
      </c>
      <c r="E73" s="31" t="s">
        <v>6</v>
      </c>
      <c r="F73" s="31" t="s">
        <v>11</v>
      </c>
      <c r="G73" s="31" t="s">
        <v>14</v>
      </c>
      <c r="H73" s="37"/>
    </row>
    <row r="74" spans="1:8" ht="15.75" customHeight="1" x14ac:dyDescent="0.25">
      <c r="A74" s="16">
        <v>20</v>
      </c>
      <c r="B74" s="28">
        <v>10406</v>
      </c>
      <c r="C74" s="29" t="s">
        <v>1197</v>
      </c>
      <c r="D74" s="30" t="s">
        <v>1198</v>
      </c>
      <c r="E74" s="31" t="s">
        <v>6</v>
      </c>
      <c r="F74" s="31" t="s">
        <v>11</v>
      </c>
      <c r="G74" s="31" t="s">
        <v>14</v>
      </c>
      <c r="H74" s="37"/>
    </row>
    <row r="75" spans="1:8" ht="15.75" customHeight="1" x14ac:dyDescent="0.25">
      <c r="A75" s="16">
        <v>21</v>
      </c>
      <c r="B75" s="28">
        <v>10415</v>
      </c>
      <c r="C75" s="29" t="s">
        <v>1199</v>
      </c>
      <c r="D75" s="30" t="s">
        <v>1200</v>
      </c>
      <c r="E75" s="31" t="s">
        <v>6</v>
      </c>
      <c r="F75" s="31" t="s">
        <v>11</v>
      </c>
      <c r="G75" s="31" t="s">
        <v>13</v>
      </c>
      <c r="H75" s="37"/>
    </row>
    <row r="76" spans="1:8" ht="15.75" customHeight="1" x14ac:dyDescent="0.25">
      <c r="A76" s="16">
        <v>22</v>
      </c>
      <c r="B76" s="28">
        <v>10418</v>
      </c>
      <c r="C76" s="29" t="s">
        <v>1201</v>
      </c>
      <c r="D76" s="30" t="s">
        <v>1202</v>
      </c>
      <c r="E76" s="31" t="s">
        <v>6</v>
      </c>
      <c r="F76" s="31" t="s">
        <v>12</v>
      </c>
      <c r="G76" s="31" t="s">
        <v>13</v>
      </c>
      <c r="H76" s="37"/>
    </row>
    <row r="77" spans="1:8" ht="15.75" customHeight="1" x14ac:dyDescent="0.25">
      <c r="A77" s="16">
        <v>23</v>
      </c>
      <c r="B77" s="28">
        <v>10428</v>
      </c>
      <c r="C77" s="29" t="s">
        <v>1203</v>
      </c>
      <c r="D77" s="30" t="s">
        <v>1204</v>
      </c>
      <c r="E77" s="31" t="s">
        <v>6</v>
      </c>
      <c r="F77" s="31" t="s">
        <v>12</v>
      </c>
      <c r="G77" s="31" t="s">
        <v>14</v>
      </c>
      <c r="H77" s="37"/>
    </row>
    <row r="78" spans="1:8" ht="15.75" customHeight="1" x14ac:dyDescent="0.25">
      <c r="A78" s="16">
        <v>24</v>
      </c>
      <c r="B78" s="28">
        <v>10444</v>
      </c>
      <c r="C78" s="29" t="s">
        <v>1205</v>
      </c>
      <c r="D78" s="30" t="s">
        <v>1206</v>
      </c>
      <c r="E78" s="31" t="s">
        <v>6</v>
      </c>
      <c r="F78" s="31" t="s">
        <v>11</v>
      </c>
      <c r="G78" s="31" t="s">
        <v>14</v>
      </c>
      <c r="H78" s="37"/>
    </row>
    <row r="79" spans="1:8" ht="15.75" customHeight="1" x14ac:dyDescent="0.25">
      <c r="A79" s="16">
        <v>25</v>
      </c>
      <c r="B79" s="28">
        <v>10452</v>
      </c>
      <c r="C79" s="29" t="s">
        <v>1207</v>
      </c>
      <c r="D79" s="30" t="s">
        <v>1208</v>
      </c>
      <c r="E79" s="31" t="s">
        <v>6</v>
      </c>
      <c r="F79" s="31" t="s">
        <v>11</v>
      </c>
      <c r="G79" s="31" t="s">
        <v>14</v>
      </c>
      <c r="H79" s="37"/>
    </row>
    <row r="80" spans="1:8" ht="15.75" customHeight="1" x14ac:dyDescent="0.25">
      <c r="A80" s="16">
        <v>26</v>
      </c>
      <c r="B80" s="28">
        <v>10458</v>
      </c>
      <c r="C80" s="29" t="s">
        <v>1209</v>
      </c>
      <c r="D80" s="30" t="s">
        <v>1210</v>
      </c>
      <c r="E80" s="31" t="s">
        <v>6</v>
      </c>
      <c r="F80" s="31" t="s">
        <v>12</v>
      </c>
      <c r="G80" s="31" t="s">
        <v>13</v>
      </c>
      <c r="H80" s="37"/>
    </row>
    <row r="81" spans="1:8" ht="15.75" customHeight="1" x14ac:dyDescent="0.25">
      <c r="A81" s="16">
        <v>27</v>
      </c>
      <c r="B81" s="28">
        <v>10481</v>
      </c>
      <c r="C81" s="29" t="s">
        <v>1211</v>
      </c>
      <c r="D81" s="30" t="s">
        <v>1212</v>
      </c>
      <c r="E81" s="31" t="s">
        <v>5</v>
      </c>
      <c r="F81" s="31" t="s">
        <v>11</v>
      </c>
      <c r="G81" s="31" t="s">
        <v>13</v>
      </c>
      <c r="H81" s="37"/>
    </row>
    <row r="82" spans="1:8" ht="15.75" customHeight="1" x14ac:dyDescent="0.25">
      <c r="A82" s="16">
        <v>28</v>
      </c>
      <c r="B82" s="28">
        <v>10486</v>
      </c>
      <c r="C82" s="29" t="s">
        <v>1213</v>
      </c>
      <c r="D82" s="30" t="s">
        <v>1214</v>
      </c>
      <c r="E82" s="31" t="s">
        <v>5</v>
      </c>
      <c r="F82" s="31" t="s">
        <v>12</v>
      </c>
      <c r="G82" s="31" t="s">
        <v>13</v>
      </c>
      <c r="H82" s="37"/>
    </row>
    <row r="83" spans="1:8" ht="15.75" customHeight="1" x14ac:dyDescent="0.25">
      <c r="A83" s="16">
        <v>29</v>
      </c>
      <c r="B83" s="28">
        <v>10489</v>
      </c>
      <c r="C83" s="29" t="s">
        <v>1215</v>
      </c>
      <c r="D83" s="30" t="s">
        <v>1216</v>
      </c>
      <c r="E83" s="31" t="s">
        <v>6</v>
      </c>
      <c r="F83" s="31" t="s">
        <v>12</v>
      </c>
      <c r="G83" s="31" t="s">
        <v>14</v>
      </c>
      <c r="H83" s="37"/>
    </row>
    <row r="84" spans="1:8" ht="15.75" customHeight="1" x14ac:dyDescent="0.25">
      <c r="A84" s="16">
        <v>30</v>
      </c>
      <c r="B84" s="28">
        <v>10502</v>
      </c>
      <c r="C84" s="29" t="s">
        <v>1217</v>
      </c>
      <c r="D84" s="30" t="s">
        <v>1218</v>
      </c>
      <c r="E84" s="31" t="s">
        <v>6</v>
      </c>
      <c r="F84" s="31" t="s">
        <v>11</v>
      </c>
      <c r="G84" s="31" t="s">
        <v>14</v>
      </c>
      <c r="H84" s="37"/>
    </row>
    <row r="85" spans="1:8" ht="15.75" customHeight="1" x14ac:dyDescent="0.25">
      <c r="A85" s="16">
        <v>31</v>
      </c>
      <c r="B85" s="28">
        <v>10508</v>
      </c>
      <c r="C85" s="29" t="s">
        <v>1219</v>
      </c>
      <c r="D85" s="30" t="s">
        <v>1220</v>
      </c>
      <c r="E85" s="31" t="s">
        <v>6</v>
      </c>
      <c r="F85" s="31" t="s">
        <v>11</v>
      </c>
      <c r="G85" s="31" t="s">
        <v>13</v>
      </c>
      <c r="H85" s="37"/>
    </row>
    <row r="86" spans="1:8" ht="15.75" customHeight="1" x14ac:dyDescent="0.25">
      <c r="A86" s="16">
        <v>32</v>
      </c>
      <c r="B86" s="28">
        <v>10512</v>
      </c>
      <c r="C86" s="29" t="s">
        <v>1221</v>
      </c>
      <c r="D86" s="30" t="s">
        <v>1222</v>
      </c>
      <c r="E86" s="31" t="s">
        <v>5</v>
      </c>
      <c r="F86" s="31" t="s">
        <v>11</v>
      </c>
      <c r="G86" s="31" t="s">
        <v>13</v>
      </c>
      <c r="H86" s="37"/>
    </row>
    <row r="87" spans="1:8" ht="15.75" customHeight="1" x14ac:dyDescent="0.25">
      <c r="A87" s="16">
        <v>33</v>
      </c>
      <c r="B87" s="28">
        <v>10514</v>
      </c>
      <c r="C87" s="29" t="s">
        <v>1223</v>
      </c>
      <c r="D87" s="30" t="s">
        <v>1224</v>
      </c>
      <c r="E87" s="31" t="s">
        <v>6</v>
      </c>
      <c r="F87" s="31" t="s">
        <v>12</v>
      </c>
      <c r="G87" s="31" t="s">
        <v>14</v>
      </c>
      <c r="H87" s="37"/>
    </row>
    <row r="88" spans="1:8" ht="15.75" customHeight="1" x14ac:dyDescent="0.25">
      <c r="A88" s="16">
        <v>34</v>
      </c>
      <c r="B88" s="28">
        <v>10515</v>
      </c>
      <c r="C88" s="29" t="s">
        <v>1225</v>
      </c>
      <c r="D88" s="30" t="s">
        <v>1226</v>
      </c>
      <c r="E88" s="31" t="s">
        <v>6</v>
      </c>
      <c r="F88" s="31" t="s">
        <v>12</v>
      </c>
      <c r="G88" s="31" t="s">
        <v>13</v>
      </c>
      <c r="H88" s="37"/>
    </row>
    <row r="89" spans="1:8" ht="15.75" customHeight="1" x14ac:dyDescent="0.25">
      <c r="A89" s="16">
        <v>35</v>
      </c>
      <c r="B89" s="28">
        <v>10516</v>
      </c>
      <c r="C89" s="29" t="s">
        <v>1227</v>
      </c>
      <c r="D89" s="30" t="s">
        <v>1228</v>
      </c>
      <c r="E89" s="31" t="s">
        <v>5</v>
      </c>
      <c r="F89" s="31" t="s">
        <v>11</v>
      </c>
      <c r="G89" s="31" t="s">
        <v>14</v>
      </c>
      <c r="H89" s="37"/>
    </row>
    <row r="90" spans="1:8" ht="15.75" customHeight="1" x14ac:dyDescent="0.25">
      <c r="A90" s="16">
        <v>36</v>
      </c>
      <c r="B90" s="28">
        <v>10517</v>
      </c>
      <c r="C90" s="29" t="s">
        <v>1229</v>
      </c>
      <c r="D90" s="30" t="s">
        <v>1230</v>
      </c>
      <c r="E90" s="31" t="s">
        <v>6</v>
      </c>
      <c r="F90" s="31" t="s">
        <v>11</v>
      </c>
      <c r="G90" s="31" t="s">
        <v>13</v>
      </c>
      <c r="H90" s="37"/>
    </row>
    <row r="91" spans="1:8" ht="15.75" customHeight="1" x14ac:dyDescent="0.2">
      <c r="A91" s="3" t="s">
        <v>5</v>
      </c>
      <c r="B91" s="3">
        <f>COUNTIF(E55:E90,A91)</f>
        <v>10</v>
      </c>
      <c r="C91" s="1" t="s">
        <v>8</v>
      </c>
      <c r="D91" s="6" t="s">
        <v>11</v>
      </c>
      <c r="E91" s="3">
        <f>COUNTIF(F55:F90,D91)</f>
        <v>21</v>
      </c>
      <c r="F91" s="3"/>
      <c r="G91" s="7"/>
      <c r="H91" s="9"/>
    </row>
    <row r="92" spans="1:8" ht="15.75" customHeight="1" x14ac:dyDescent="0.2">
      <c r="A92" s="3" t="s">
        <v>6</v>
      </c>
      <c r="B92" s="5">
        <f>COUNTIF(E55:E90,A92)</f>
        <v>26</v>
      </c>
      <c r="C92" s="1" t="s">
        <v>8</v>
      </c>
      <c r="D92" s="6" t="s">
        <v>49</v>
      </c>
      <c r="E92" s="3">
        <f>COUNTIF(F55:F90,D92)</f>
        <v>0</v>
      </c>
      <c r="F92" s="3"/>
      <c r="G92" s="7"/>
      <c r="H92" s="9"/>
    </row>
    <row r="93" spans="1:8" ht="15.75" customHeight="1" x14ac:dyDescent="0.2">
      <c r="A93" s="3" t="s">
        <v>7</v>
      </c>
      <c r="B93" s="3">
        <f>B91+B92</f>
        <v>36</v>
      </c>
      <c r="C93" s="1" t="s">
        <v>8</v>
      </c>
      <c r="D93" s="6" t="s">
        <v>12</v>
      </c>
      <c r="E93" s="3">
        <f>COUNTIF(F55:F90,D93)</f>
        <v>15</v>
      </c>
      <c r="F93" s="3"/>
      <c r="G93" s="7"/>
      <c r="H93" s="9"/>
    </row>
    <row r="94" spans="1:8" ht="15.75" customHeight="1" x14ac:dyDescent="0.2">
      <c r="D94" s="40" t="s">
        <v>13</v>
      </c>
      <c r="E94" s="41">
        <f>COUNTIF(G55:G90,D94)</f>
        <v>19</v>
      </c>
      <c r="F94" s="3"/>
      <c r="G94" s="7"/>
      <c r="H94" s="9"/>
    </row>
    <row r="95" spans="1:8" ht="15.75" customHeight="1" x14ac:dyDescent="0.2">
      <c r="D95" s="40" t="s">
        <v>14</v>
      </c>
      <c r="E95" s="41">
        <f>COUNTIF(G55:G90,D95)</f>
        <v>17</v>
      </c>
      <c r="F95" s="3"/>
      <c r="G95" s="7"/>
      <c r="H95" s="9"/>
    </row>
    <row r="96" spans="1:8" ht="15.75" customHeight="1" x14ac:dyDescent="0.2">
      <c r="A96" s="10" t="s">
        <v>52</v>
      </c>
      <c r="B96" s="10"/>
      <c r="C96" s="10"/>
      <c r="D96" s="19"/>
      <c r="E96" s="8"/>
      <c r="F96" s="8"/>
      <c r="G96" s="7"/>
    </row>
    <row r="97" spans="1:7" ht="15.75" customHeight="1" x14ac:dyDescent="0.2">
      <c r="A97" s="88" t="s">
        <v>0</v>
      </c>
      <c r="B97" s="89"/>
      <c r="C97" s="89"/>
      <c r="D97" s="90" t="s">
        <v>1</v>
      </c>
      <c r="E97" s="92" t="s">
        <v>9</v>
      </c>
      <c r="F97" s="86" t="s">
        <v>10</v>
      </c>
      <c r="G97" s="96" t="s">
        <v>48</v>
      </c>
    </row>
    <row r="98" spans="1:7" ht="15.75" customHeight="1" x14ac:dyDescent="0.2">
      <c r="A98" s="20" t="s">
        <v>2</v>
      </c>
      <c r="B98" s="20" t="s">
        <v>3</v>
      </c>
      <c r="C98" s="21" t="s">
        <v>4</v>
      </c>
      <c r="D98" s="91"/>
      <c r="E98" s="93"/>
      <c r="F98" s="87"/>
      <c r="G98" s="97"/>
    </row>
    <row r="99" spans="1:7" ht="15.75" customHeight="1" x14ac:dyDescent="0.25">
      <c r="A99" s="16">
        <v>1</v>
      </c>
      <c r="B99" s="28">
        <v>10284</v>
      </c>
      <c r="C99" s="29" t="s">
        <v>1231</v>
      </c>
      <c r="D99" s="30" t="s">
        <v>1232</v>
      </c>
      <c r="E99" s="31" t="s">
        <v>6</v>
      </c>
      <c r="F99" s="31" t="s">
        <v>11</v>
      </c>
      <c r="G99" s="31" t="s">
        <v>14</v>
      </c>
    </row>
    <row r="100" spans="1:7" ht="15.75" customHeight="1" x14ac:dyDescent="0.25">
      <c r="A100" s="16">
        <v>2</v>
      </c>
      <c r="B100" s="28">
        <v>10288</v>
      </c>
      <c r="C100" s="29" t="s">
        <v>1233</v>
      </c>
      <c r="D100" s="30" t="s">
        <v>1234</v>
      </c>
      <c r="E100" s="31" t="s">
        <v>6</v>
      </c>
      <c r="F100" s="31" t="s">
        <v>11</v>
      </c>
      <c r="G100" s="31" t="s">
        <v>14</v>
      </c>
    </row>
    <row r="101" spans="1:7" ht="15.75" customHeight="1" x14ac:dyDescent="0.25">
      <c r="A101" s="16">
        <v>3</v>
      </c>
      <c r="B101" s="28">
        <v>10289</v>
      </c>
      <c r="C101" s="29" t="s">
        <v>1235</v>
      </c>
      <c r="D101" s="32" t="s">
        <v>1236</v>
      </c>
      <c r="E101" s="31" t="s">
        <v>5</v>
      </c>
      <c r="F101" s="31" t="s">
        <v>11</v>
      </c>
      <c r="G101" s="31" t="s">
        <v>14</v>
      </c>
    </row>
    <row r="102" spans="1:7" ht="15.75" customHeight="1" x14ac:dyDescent="0.25">
      <c r="A102" s="16">
        <v>4</v>
      </c>
      <c r="B102" s="28">
        <v>10291</v>
      </c>
      <c r="C102" s="29" t="s">
        <v>1237</v>
      </c>
      <c r="D102" s="30" t="s">
        <v>1238</v>
      </c>
      <c r="E102" s="31" t="s">
        <v>5</v>
      </c>
      <c r="F102" s="31" t="s">
        <v>11</v>
      </c>
      <c r="G102" s="31" t="s">
        <v>14</v>
      </c>
    </row>
    <row r="103" spans="1:7" ht="15.75" customHeight="1" x14ac:dyDescent="0.25">
      <c r="A103" s="16">
        <v>5</v>
      </c>
      <c r="B103" s="28">
        <v>10293</v>
      </c>
      <c r="C103" s="29" t="s">
        <v>1239</v>
      </c>
      <c r="D103" s="30" t="s">
        <v>1240</v>
      </c>
      <c r="E103" s="31" t="s">
        <v>6</v>
      </c>
      <c r="F103" s="31" t="s">
        <v>11</v>
      </c>
      <c r="G103" s="31" t="s">
        <v>14</v>
      </c>
    </row>
    <row r="104" spans="1:7" ht="15.75" customHeight="1" x14ac:dyDescent="0.25">
      <c r="A104" s="16">
        <v>6</v>
      </c>
      <c r="B104" s="28">
        <v>10294</v>
      </c>
      <c r="C104" s="29" t="s">
        <v>1241</v>
      </c>
      <c r="D104" s="30" t="s">
        <v>1242</v>
      </c>
      <c r="E104" s="31" t="s">
        <v>6</v>
      </c>
      <c r="F104" s="31" t="s">
        <v>11</v>
      </c>
      <c r="G104" s="31" t="s">
        <v>14</v>
      </c>
    </row>
    <row r="105" spans="1:7" ht="15.75" customHeight="1" x14ac:dyDescent="0.25">
      <c r="A105" s="16">
        <v>7</v>
      </c>
      <c r="B105" s="28">
        <v>10300</v>
      </c>
      <c r="C105" s="29" t="s">
        <v>1243</v>
      </c>
      <c r="D105" s="30" t="s">
        <v>1244</v>
      </c>
      <c r="E105" s="31" t="s">
        <v>6</v>
      </c>
      <c r="F105" s="31" t="s">
        <v>11</v>
      </c>
      <c r="G105" s="31" t="s">
        <v>14</v>
      </c>
    </row>
    <row r="106" spans="1:7" ht="15.75" customHeight="1" x14ac:dyDescent="0.25">
      <c r="A106" s="16">
        <v>8</v>
      </c>
      <c r="B106" s="28">
        <v>10302</v>
      </c>
      <c r="C106" s="29" t="s">
        <v>1245</v>
      </c>
      <c r="D106" s="30" t="s">
        <v>1246</v>
      </c>
      <c r="E106" s="31" t="s">
        <v>6</v>
      </c>
      <c r="F106" s="31" t="s">
        <v>11</v>
      </c>
      <c r="G106" s="31" t="s">
        <v>14</v>
      </c>
    </row>
    <row r="107" spans="1:7" ht="15.75" customHeight="1" x14ac:dyDescent="0.25">
      <c r="A107" s="16">
        <v>9</v>
      </c>
      <c r="B107" s="28">
        <v>10312</v>
      </c>
      <c r="C107" s="29" t="s">
        <v>1247</v>
      </c>
      <c r="D107" s="30" t="s">
        <v>1248</v>
      </c>
      <c r="E107" s="31" t="s">
        <v>6</v>
      </c>
      <c r="F107" s="31" t="s">
        <v>11</v>
      </c>
      <c r="G107" s="31" t="s">
        <v>14</v>
      </c>
    </row>
    <row r="108" spans="1:7" ht="15.75" customHeight="1" x14ac:dyDescent="0.25">
      <c r="A108" s="16">
        <v>10</v>
      </c>
      <c r="B108" s="28">
        <v>10322</v>
      </c>
      <c r="C108" s="29" t="s">
        <v>1249</v>
      </c>
      <c r="D108" s="30" t="s">
        <v>1250</v>
      </c>
      <c r="E108" s="31" t="s">
        <v>5</v>
      </c>
      <c r="F108" s="31" t="s">
        <v>11</v>
      </c>
      <c r="G108" s="31" t="s">
        <v>14</v>
      </c>
    </row>
    <row r="109" spans="1:7" ht="15.75" customHeight="1" x14ac:dyDescent="0.25">
      <c r="A109" s="16">
        <v>11</v>
      </c>
      <c r="B109" s="28">
        <v>10352</v>
      </c>
      <c r="C109" s="29" t="s">
        <v>1251</v>
      </c>
      <c r="D109" s="30" t="s">
        <v>1252</v>
      </c>
      <c r="E109" s="31" t="s">
        <v>5</v>
      </c>
      <c r="F109" s="31" t="s">
        <v>11</v>
      </c>
      <c r="G109" s="31" t="s">
        <v>14</v>
      </c>
    </row>
    <row r="110" spans="1:7" ht="15.75" customHeight="1" x14ac:dyDescent="0.25">
      <c r="A110" s="16">
        <v>12</v>
      </c>
      <c r="B110" s="28">
        <v>10353</v>
      </c>
      <c r="C110" s="29" t="s">
        <v>1253</v>
      </c>
      <c r="D110" s="30" t="s">
        <v>1254</v>
      </c>
      <c r="E110" s="31" t="s">
        <v>6</v>
      </c>
      <c r="F110" s="31" t="s">
        <v>11</v>
      </c>
      <c r="G110" s="31" t="s">
        <v>14</v>
      </c>
    </row>
    <row r="111" spans="1:7" ht="15.75" customHeight="1" x14ac:dyDescent="0.25">
      <c r="A111" s="16">
        <v>13</v>
      </c>
      <c r="B111" s="28">
        <v>10363</v>
      </c>
      <c r="C111" s="29" t="s">
        <v>1255</v>
      </c>
      <c r="D111" s="30" t="s">
        <v>1256</v>
      </c>
      <c r="E111" s="31" t="s">
        <v>5</v>
      </c>
      <c r="F111" s="31" t="s">
        <v>11</v>
      </c>
      <c r="G111" s="31" t="s">
        <v>14</v>
      </c>
    </row>
    <row r="112" spans="1:7" ht="15.75" customHeight="1" x14ac:dyDescent="0.25">
      <c r="A112" s="16">
        <v>14</v>
      </c>
      <c r="B112" s="28">
        <v>10371</v>
      </c>
      <c r="C112" s="38" t="s">
        <v>1257</v>
      </c>
      <c r="D112" s="17" t="s">
        <v>1258</v>
      </c>
      <c r="E112" s="18" t="s">
        <v>6</v>
      </c>
      <c r="F112" s="31" t="s">
        <v>11</v>
      </c>
      <c r="G112" s="31" t="s">
        <v>14</v>
      </c>
    </row>
    <row r="113" spans="1:7" ht="15.75" customHeight="1" x14ac:dyDescent="0.25">
      <c r="A113" s="16">
        <v>15</v>
      </c>
      <c r="B113" s="28">
        <v>10382</v>
      </c>
      <c r="C113" s="29" t="s">
        <v>1259</v>
      </c>
      <c r="D113" s="30" t="s">
        <v>1260</v>
      </c>
      <c r="E113" s="31" t="s">
        <v>5</v>
      </c>
      <c r="F113" s="31" t="s">
        <v>11</v>
      </c>
      <c r="G113" s="31" t="s">
        <v>14</v>
      </c>
    </row>
    <row r="114" spans="1:7" ht="15.75" customHeight="1" x14ac:dyDescent="0.25">
      <c r="A114" s="16">
        <v>16</v>
      </c>
      <c r="B114" s="28">
        <v>10388</v>
      </c>
      <c r="C114" s="29" t="s">
        <v>1261</v>
      </c>
      <c r="D114" s="30" t="s">
        <v>1262</v>
      </c>
      <c r="E114" s="31" t="s">
        <v>6</v>
      </c>
      <c r="F114" s="31" t="s">
        <v>11</v>
      </c>
      <c r="G114" s="31" t="s">
        <v>14</v>
      </c>
    </row>
    <row r="115" spans="1:7" ht="15.75" customHeight="1" x14ac:dyDescent="0.25">
      <c r="A115" s="16">
        <v>17</v>
      </c>
      <c r="B115" s="28">
        <v>10390</v>
      </c>
      <c r="C115" s="29" t="s">
        <v>1263</v>
      </c>
      <c r="D115" s="30" t="s">
        <v>1264</v>
      </c>
      <c r="E115" s="31" t="s">
        <v>5</v>
      </c>
      <c r="F115" s="31" t="s">
        <v>11</v>
      </c>
      <c r="G115" s="31" t="s">
        <v>14</v>
      </c>
    </row>
    <row r="116" spans="1:7" ht="15.75" customHeight="1" x14ac:dyDescent="0.25">
      <c r="A116" s="16">
        <v>18</v>
      </c>
      <c r="B116" s="28">
        <v>10395</v>
      </c>
      <c r="C116" s="29" t="s">
        <v>1265</v>
      </c>
      <c r="D116" s="30" t="s">
        <v>1266</v>
      </c>
      <c r="E116" s="31" t="s">
        <v>5</v>
      </c>
      <c r="F116" s="31" t="s">
        <v>11</v>
      </c>
      <c r="G116" s="31" t="s">
        <v>14</v>
      </c>
    </row>
    <row r="117" spans="1:7" ht="15.75" customHeight="1" x14ac:dyDescent="0.25">
      <c r="A117" s="16">
        <v>19</v>
      </c>
      <c r="B117" s="28">
        <v>10398</v>
      </c>
      <c r="C117" s="29" t="s">
        <v>1267</v>
      </c>
      <c r="D117" s="30" t="s">
        <v>1268</v>
      </c>
      <c r="E117" s="31" t="s">
        <v>6</v>
      </c>
      <c r="F117" s="31" t="s">
        <v>11</v>
      </c>
      <c r="G117" s="31" t="s">
        <v>14</v>
      </c>
    </row>
    <row r="118" spans="1:7" ht="15.75" customHeight="1" x14ac:dyDescent="0.25">
      <c r="A118" s="16">
        <v>20</v>
      </c>
      <c r="B118" s="28">
        <v>10400</v>
      </c>
      <c r="C118" s="29" t="s">
        <v>1269</v>
      </c>
      <c r="D118" s="30" t="s">
        <v>1270</v>
      </c>
      <c r="E118" s="31" t="s">
        <v>6</v>
      </c>
      <c r="F118" s="31" t="s">
        <v>11</v>
      </c>
      <c r="G118" s="31" t="s">
        <v>14</v>
      </c>
    </row>
    <row r="119" spans="1:7" ht="15.75" customHeight="1" x14ac:dyDescent="0.25">
      <c r="A119" s="16">
        <v>21</v>
      </c>
      <c r="B119" s="28">
        <v>10401</v>
      </c>
      <c r="C119" s="29" t="s">
        <v>1271</v>
      </c>
      <c r="D119" s="30" t="s">
        <v>1272</v>
      </c>
      <c r="E119" s="31" t="s">
        <v>6</v>
      </c>
      <c r="F119" s="31" t="s">
        <v>11</v>
      </c>
      <c r="G119" s="31" t="s">
        <v>14</v>
      </c>
    </row>
    <row r="120" spans="1:7" ht="15.75" customHeight="1" x14ac:dyDescent="0.25">
      <c r="A120" s="16">
        <v>22</v>
      </c>
      <c r="B120" s="28">
        <v>10408</v>
      </c>
      <c r="C120" s="29" t="s">
        <v>1273</v>
      </c>
      <c r="D120" s="30" t="s">
        <v>1274</v>
      </c>
      <c r="E120" s="31" t="s">
        <v>6</v>
      </c>
      <c r="F120" s="31" t="s">
        <v>11</v>
      </c>
      <c r="G120" s="31" t="s">
        <v>14</v>
      </c>
    </row>
    <row r="121" spans="1:7" ht="15.75" customHeight="1" x14ac:dyDescent="0.25">
      <c r="A121" s="16">
        <v>23</v>
      </c>
      <c r="B121" s="28">
        <v>10412</v>
      </c>
      <c r="C121" s="29" t="s">
        <v>1275</v>
      </c>
      <c r="D121" s="30" t="s">
        <v>1276</v>
      </c>
      <c r="E121" s="31" t="s">
        <v>6</v>
      </c>
      <c r="F121" s="31" t="s">
        <v>11</v>
      </c>
      <c r="G121" s="31" t="s">
        <v>14</v>
      </c>
    </row>
    <row r="122" spans="1:7" ht="15.75" customHeight="1" x14ac:dyDescent="0.25">
      <c r="A122" s="16">
        <v>24</v>
      </c>
      <c r="B122" s="28">
        <v>10413</v>
      </c>
      <c r="C122" s="29" t="s">
        <v>1277</v>
      </c>
      <c r="D122" s="32" t="s">
        <v>1278</v>
      </c>
      <c r="E122" s="31" t="s">
        <v>6</v>
      </c>
      <c r="F122" s="31" t="s">
        <v>11</v>
      </c>
      <c r="G122" s="31" t="s">
        <v>14</v>
      </c>
    </row>
    <row r="123" spans="1:7" ht="15.75" customHeight="1" x14ac:dyDescent="0.25">
      <c r="A123" s="16">
        <v>25</v>
      </c>
      <c r="B123" s="28">
        <v>10431</v>
      </c>
      <c r="C123" s="29" t="s">
        <v>1279</v>
      </c>
      <c r="D123" s="30" t="s">
        <v>1280</v>
      </c>
      <c r="E123" s="31" t="s">
        <v>6</v>
      </c>
      <c r="F123" s="31" t="s">
        <v>11</v>
      </c>
      <c r="G123" s="31" t="s">
        <v>14</v>
      </c>
    </row>
    <row r="124" spans="1:7" ht="15.75" customHeight="1" x14ac:dyDescent="0.25">
      <c r="A124" s="16">
        <v>26</v>
      </c>
      <c r="B124" s="28">
        <v>10445</v>
      </c>
      <c r="C124" s="29" t="s">
        <v>1281</v>
      </c>
      <c r="D124" s="30" t="s">
        <v>1282</v>
      </c>
      <c r="E124" s="31" t="s">
        <v>6</v>
      </c>
      <c r="F124" s="31" t="s">
        <v>11</v>
      </c>
      <c r="G124" s="31" t="s">
        <v>14</v>
      </c>
    </row>
    <row r="125" spans="1:7" ht="15.75" customHeight="1" x14ac:dyDescent="0.25">
      <c r="A125" s="16">
        <v>27</v>
      </c>
      <c r="B125" s="28">
        <v>10447</v>
      </c>
      <c r="C125" s="29" t="s">
        <v>1283</v>
      </c>
      <c r="D125" s="30" t="s">
        <v>1284</v>
      </c>
      <c r="E125" s="31" t="s">
        <v>6</v>
      </c>
      <c r="F125" s="31" t="s">
        <v>11</v>
      </c>
      <c r="G125" s="31" t="s">
        <v>14</v>
      </c>
    </row>
    <row r="126" spans="1:7" ht="15.75" customHeight="1" x14ac:dyDescent="0.25">
      <c r="A126" s="16">
        <v>28</v>
      </c>
      <c r="B126" s="28">
        <v>10465</v>
      </c>
      <c r="C126" s="29" t="s">
        <v>1285</v>
      </c>
      <c r="D126" s="30" t="s">
        <v>1286</v>
      </c>
      <c r="E126" s="31" t="s">
        <v>5</v>
      </c>
      <c r="F126" s="31" t="s">
        <v>11</v>
      </c>
      <c r="G126" s="31" t="s">
        <v>14</v>
      </c>
    </row>
    <row r="127" spans="1:7" ht="15.75" customHeight="1" x14ac:dyDescent="0.25">
      <c r="A127" s="16">
        <v>29</v>
      </c>
      <c r="B127" s="28">
        <v>10475</v>
      </c>
      <c r="C127" s="29" t="s">
        <v>1287</v>
      </c>
      <c r="D127" s="30" t="s">
        <v>1288</v>
      </c>
      <c r="E127" s="31" t="s">
        <v>6</v>
      </c>
      <c r="F127" s="31" t="s">
        <v>11</v>
      </c>
      <c r="G127" s="31" t="s">
        <v>14</v>
      </c>
    </row>
    <row r="128" spans="1:7" ht="15.75" customHeight="1" x14ac:dyDescent="0.25">
      <c r="A128" s="16">
        <v>30</v>
      </c>
      <c r="B128" s="28">
        <v>10477</v>
      </c>
      <c r="C128" s="29" t="s">
        <v>1289</v>
      </c>
      <c r="D128" s="30" t="s">
        <v>1290</v>
      </c>
      <c r="E128" s="31" t="s">
        <v>5</v>
      </c>
      <c r="F128" s="31" t="s">
        <v>11</v>
      </c>
      <c r="G128" s="31" t="s">
        <v>14</v>
      </c>
    </row>
    <row r="129" spans="1:8" ht="15.75" customHeight="1" x14ac:dyDescent="0.25">
      <c r="A129" s="16">
        <v>31</v>
      </c>
      <c r="B129" s="28">
        <v>10479</v>
      </c>
      <c r="C129" s="29" t="s">
        <v>1291</v>
      </c>
      <c r="D129" s="30" t="s">
        <v>1292</v>
      </c>
      <c r="E129" s="31" t="s">
        <v>5</v>
      </c>
      <c r="F129" s="31" t="s">
        <v>11</v>
      </c>
      <c r="G129" s="31" t="s">
        <v>14</v>
      </c>
    </row>
    <row r="130" spans="1:8" ht="15.75" customHeight="1" x14ac:dyDescent="0.25">
      <c r="A130" s="16">
        <v>32</v>
      </c>
      <c r="B130" s="28">
        <v>10483</v>
      </c>
      <c r="C130" s="29" t="s">
        <v>1293</v>
      </c>
      <c r="D130" s="30" t="s">
        <v>1294</v>
      </c>
      <c r="E130" s="31" t="s">
        <v>5</v>
      </c>
      <c r="F130" s="31" t="s">
        <v>11</v>
      </c>
      <c r="G130" s="31" t="s">
        <v>14</v>
      </c>
    </row>
    <row r="131" spans="1:8" ht="15.75" customHeight="1" x14ac:dyDescent="0.25">
      <c r="A131" s="16">
        <v>33</v>
      </c>
      <c r="B131" s="28">
        <v>10494</v>
      </c>
      <c r="C131" s="29" t="s">
        <v>1295</v>
      </c>
      <c r="D131" s="30" t="s">
        <v>1296</v>
      </c>
      <c r="E131" s="31" t="s">
        <v>6</v>
      </c>
      <c r="F131" s="31" t="s">
        <v>11</v>
      </c>
      <c r="G131" s="31" t="s">
        <v>14</v>
      </c>
    </row>
    <row r="132" spans="1:8" ht="15.75" customHeight="1" x14ac:dyDescent="0.25">
      <c r="A132" s="16">
        <v>34</v>
      </c>
      <c r="B132" s="28">
        <v>10497</v>
      </c>
      <c r="C132" s="29" t="s">
        <v>1297</v>
      </c>
      <c r="D132" s="30" t="s">
        <v>1298</v>
      </c>
      <c r="E132" s="31" t="s">
        <v>6</v>
      </c>
      <c r="F132" s="31" t="s">
        <v>11</v>
      </c>
      <c r="G132" s="31" t="s">
        <v>14</v>
      </c>
    </row>
    <row r="133" spans="1:8" ht="15.75" customHeight="1" x14ac:dyDescent="0.25">
      <c r="A133" s="16">
        <v>35</v>
      </c>
      <c r="B133" s="28">
        <v>10503</v>
      </c>
      <c r="C133" s="29" t="s">
        <v>1299</v>
      </c>
      <c r="D133" s="30" t="s">
        <v>1300</v>
      </c>
      <c r="E133" s="31" t="s">
        <v>6</v>
      </c>
      <c r="F133" s="31" t="s">
        <v>11</v>
      </c>
      <c r="G133" s="31" t="s">
        <v>14</v>
      </c>
    </row>
    <row r="134" spans="1:8" ht="15.75" customHeight="1" x14ac:dyDescent="0.25">
      <c r="A134" s="16">
        <v>36</v>
      </c>
      <c r="B134" s="33">
        <v>10520</v>
      </c>
      <c r="C134" s="34" t="s">
        <v>1301</v>
      </c>
      <c r="D134" s="35" t="s">
        <v>1302</v>
      </c>
      <c r="E134" s="36" t="s">
        <v>6</v>
      </c>
      <c r="F134" s="36" t="s">
        <v>11</v>
      </c>
      <c r="G134" s="31" t="s">
        <v>14</v>
      </c>
    </row>
    <row r="135" spans="1:8" ht="15.75" customHeight="1" x14ac:dyDescent="0.2">
      <c r="A135" s="3" t="s">
        <v>5</v>
      </c>
      <c r="B135" s="3">
        <f>COUNTIF(E99:E134,A135)</f>
        <v>12</v>
      </c>
      <c r="C135" s="1" t="s">
        <v>8</v>
      </c>
      <c r="D135" s="6" t="s">
        <v>11</v>
      </c>
      <c r="E135" s="3">
        <f>COUNTIF(F99:F134,D135)</f>
        <v>36</v>
      </c>
      <c r="F135" s="3"/>
      <c r="G135" s="7"/>
      <c r="H135" s="9"/>
    </row>
    <row r="136" spans="1:8" ht="15.75" customHeight="1" x14ac:dyDescent="0.2">
      <c r="A136" s="3" t="s">
        <v>6</v>
      </c>
      <c r="B136" s="5">
        <f>COUNTIF(E99:E134,A136)</f>
        <v>24</v>
      </c>
      <c r="C136" s="1" t="s">
        <v>8</v>
      </c>
      <c r="D136" s="6" t="s">
        <v>49</v>
      </c>
      <c r="E136" s="3">
        <f>COUNTIF(F99:F134,D136)</f>
        <v>0</v>
      </c>
      <c r="F136" s="3"/>
      <c r="G136" s="7"/>
      <c r="H136" s="9"/>
    </row>
    <row r="137" spans="1:8" ht="15.75" customHeight="1" x14ac:dyDescent="0.2">
      <c r="A137" s="3" t="s">
        <v>7</v>
      </c>
      <c r="B137" s="3">
        <f>B135+B136</f>
        <v>36</v>
      </c>
      <c r="C137" s="1" t="s">
        <v>8</v>
      </c>
      <c r="D137" s="6" t="s">
        <v>12</v>
      </c>
      <c r="E137" s="3">
        <f>COUNTIF(F99:F134,D137)</f>
        <v>0</v>
      </c>
      <c r="F137" s="3"/>
      <c r="G137" s="7"/>
      <c r="H137" s="9"/>
    </row>
    <row r="138" spans="1:8" ht="15.75" customHeight="1" x14ac:dyDescent="0.2">
      <c r="D138" s="40" t="s">
        <v>13</v>
      </c>
      <c r="E138" s="41">
        <f>COUNTIF(G99:G134,D138)</f>
        <v>0</v>
      </c>
      <c r="F138" s="3"/>
      <c r="G138" s="7"/>
      <c r="H138" s="9"/>
    </row>
    <row r="139" spans="1:8" ht="15.75" customHeight="1" x14ac:dyDescent="0.2">
      <c r="D139" s="40" t="s">
        <v>14</v>
      </c>
      <c r="E139" s="41">
        <f>COUNTIF(G99:G134,D139)</f>
        <v>36</v>
      </c>
      <c r="F139" s="3"/>
      <c r="G139" s="7"/>
      <c r="H139" s="9"/>
    </row>
    <row r="140" spans="1:8" ht="15.75" customHeight="1" x14ac:dyDescent="0.2">
      <c r="A140" s="10" t="s">
        <v>53</v>
      </c>
      <c r="B140" s="10"/>
      <c r="C140" s="10"/>
      <c r="D140" s="19"/>
      <c r="E140" s="8"/>
      <c r="F140" s="8"/>
      <c r="G140" s="7"/>
    </row>
    <row r="141" spans="1:8" ht="15.75" customHeight="1" x14ac:dyDescent="0.2">
      <c r="A141" s="88" t="s">
        <v>0</v>
      </c>
      <c r="B141" s="89"/>
      <c r="C141" s="89"/>
      <c r="D141" s="90" t="s">
        <v>1</v>
      </c>
      <c r="E141" s="92" t="s">
        <v>9</v>
      </c>
      <c r="F141" s="86" t="s">
        <v>10</v>
      </c>
      <c r="G141" s="96" t="s">
        <v>48</v>
      </c>
    </row>
    <row r="142" spans="1:8" ht="15.75" customHeight="1" x14ac:dyDescent="0.2">
      <c r="A142" s="20" t="s">
        <v>2</v>
      </c>
      <c r="B142" s="20" t="s">
        <v>3</v>
      </c>
      <c r="C142" s="21" t="s">
        <v>4</v>
      </c>
      <c r="D142" s="91"/>
      <c r="E142" s="93"/>
      <c r="F142" s="87"/>
      <c r="G142" s="97"/>
    </row>
    <row r="143" spans="1:8" ht="15.75" customHeight="1" x14ac:dyDescent="0.25">
      <c r="A143" s="16">
        <v>1</v>
      </c>
      <c r="B143" s="28">
        <v>10272</v>
      </c>
      <c r="C143" s="29" t="s">
        <v>1303</v>
      </c>
      <c r="D143" s="30" t="s">
        <v>1304</v>
      </c>
      <c r="E143" s="31" t="s">
        <v>6</v>
      </c>
      <c r="F143" s="31" t="s">
        <v>11</v>
      </c>
      <c r="G143" s="31" t="s">
        <v>14</v>
      </c>
    </row>
    <row r="144" spans="1:8" ht="15.75" customHeight="1" x14ac:dyDescent="0.25">
      <c r="A144" s="98">
        <v>2</v>
      </c>
      <c r="B144" s="99">
        <v>10292</v>
      </c>
      <c r="C144" s="100" t="s">
        <v>1305</v>
      </c>
      <c r="D144" s="101" t="s">
        <v>1306</v>
      </c>
      <c r="E144" s="102" t="s">
        <v>6</v>
      </c>
      <c r="F144" s="102" t="s">
        <v>11</v>
      </c>
      <c r="G144" s="102" t="s">
        <v>14</v>
      </c>
    </row>
    <row r="145" spans="1:7" ht="15.75" customHeight="1" x14ac:dyDescent="0.25">
      <c r="A145" s="16">
        <v>3</v>
      </c>
      <c r="B145" s="28">
        <v>10309</v>
      </c>
      <c r="C145" s="29" t="s">
        <v>1307</v>
      </c>
      <c r="D145" s="30" t="s">
        <v>1308</v>
      </c>
      <c r="E145" s="31" t="s">
        <v>5</v>
      </c>
      <c r="F145" s="31" t="s">
        <v>11</v>
      </c>
      <c r="G145" s="31" t="s">
        <v>14</v>
      </c>
    </row>
    <row r="146" spans="1:7" ht="15.75" customHeight="1" x14ac:dyDescent="0.25">
      <c r="A146" s="16">
        <v>4</v>
      </c>
      <c r="B146" s="28">
        <v>10325</v>
      </c>
      <c r="C146" s="29" t="s">
        <v>1309</v>
      </c>
      <c r="D146" s="30" t="s">
        <v>1310</v>
      </c>
      <c r="E146" s="31" t="s">
        <v>6</v>
      </c>
      <c r="F146" s="31" t="s">
        <v>11</v>
      </c>
      <c r="G146" s="31" t="s">
        <v>14</v>
      </c>
    </row>
    <row r="147" spans="1:7" ht="15.75" customHeight="1" x14ac:dyDescent="0.25">
      <c r="A147" s="16">
        <v>5</v>
      </c>
      <c r="B147" s="28">
        <v>10337</v>
      </c>
      <c r="C147" s="29" t="s">
        <v>1311</v>
      </c>
      <c r="D147" s="30" t="s">
        <v>1312</v>
      </c>
      <c r="E147" s="31" t="s">
        <v>5</v>
      </c>
      <c r="F147" s="31" t="s">
        <v>11</v>
      </c>
      <c r="G147" s="31" t="s">
        <v>14</v>
      </c>
    </row>
    <row r="148" spans="1:7" ht="15.75" customHeight="1" x14ac:dyDescent="0.25">
      <c r="A148" s="16">
        <v>6</v>
      </c>
      <c r="B148" s="28">
        <v>10350</v>
      </c>
      <c r="C148" s="29" t="s">
        <v>1313</v>
      </c>
      <c r="D148" s="32" t="s">
        <v>1314</v>
      </c>
      <c r="E148" s="31" t="s">
        <v>6</v>
      </c>
      <c r="F148" s="31" t="s">
        <v>11</v>
      </c>
      <c r="G148" s="31" t="s">
        <v>14</v>
      </c>
    </row>
    <row r="149" spans="1:7" ht="15.75" customHeight="1" x14ac:dyDescent="0.25">
      <c r="A149" s="16">
        <v>7</v>
      </c>
      <c r="B149" s="28">
        <v>10356</v>
      </c>
      <c r="C149" s="29" t="s">
        <v>1315</v>
      </c>
      <c r="D149" s="30" t="s">
        <v>1316</v>
      </c>
      <c r="E149" s="31" t="s">
        <v>5</v>
      </c>
      <c r="F149" s="31" t="s">
        <v>11</v>
      </c>
      <c r="G149" s="31" t="s">
        <v>14</v>
      </c>
    </row>
    <row r="150" spans="1:7" ht="15.75" customHeight="1" x14ac:dyDescent="0.25">
      <c r="A150" s="16">
        <v>8</v>
      </c>
      <c r="B150" s="28">
        <v>10359</v>
      </c>
      <c r="C150" s="29" t="s">
        <v>1317</v>
      </c>
      <c r="D150" s="30" t="s">
        <v>1318</v>
      </c>
      <c r="E150" s="31" t="s">
        <v>5</v>
      </c>
      <c r="F150" s="31" t="s">
        <v>11</v>
      </c>
      <c r="G150" s="31" t="s">
        <v>14</v>
      </c>
    </row>
    <row r="151" spans="1:7" ht="15.75" customHeight="1" x14ac:dyDescent="0.25">
      <c r="A151" s="16">
        <v>9</v>
      </c>
      <c r="B151" s="28">
        <v>10362</v>
      </c>
      <c r="C151" s="29" t="s">
        <v>1319</v>
      </c>
      <c r="D151" s="30" t="s">
        <v>1320</v>
      </c>
      <c r="E151" s="31" t="s">
        <v>6</v>
      </c>
      <c r="F151" s="31" t="s">
        <v>11</v>
      </c>
      <c r="G151" s="31" t="s">
        <v>14</v>
      </c>
    </row>
    <row r="152" spans="1:7" ht="15.75" customHeight="1" x14ac:dyDescent="0.25">
      <c r="A152" s="16">
        <v>10</v>
      </c>
      <c r="B152" s="28">
        <v>10375</v>
      </c>
      <c r="C152" s="26" t="s">
        <v>1321</v>
      </c>
      <c r="D152" s="17" t="s">
        <v>1322</v>
      </c>
      <c r="E152" s="18" t="s">
        <v>6</v>
      </c>
      <c r="F152" s="31" t="s">
        <v>11</v>
      </c>
      <c r="G152" s="31" t="s">
        <v>14</v>
      </c>
    </row>
    <row r="153" spans="1:7" ht="15.75" customHeight="1" x14ac:dyDescent="0.25">
      <c r="A153" s="16">
        <v>11</v>
      </c>
      <c r="B153" s="28">
        <v>10376</v>
      </c>
      <c r="C153" s="29" t="s">
        <v>1323</v>
      </c>
      <c r="D153" s="30" t="s">
        <v>1324</v>
      </c>
      <c r="E153" s="31" t="s">
        <v>6</v>
      </c>
      <c r="F153" s="31" t="s">
        <v>11</v>
      </c>
      <c r="G153" s="31" t="s">
        <v>14</v>
      </c>
    </row>
    <row r="154" spans="1:7" ht="15.75" customHeight="1" x14ac:dyDescent="0.25">
      <c r="A154" s="16">
        <v>12</v>
      </c>
      <c r="B154" s="28">
        <v>10383</v>
      </c>
      <c r="C154" s="29" t="s">
        <v>1325</v>
      </c>
      <c r="D154" s="30" t="s">
        <v>1326</v>
      </c>
      <c r="E154" s="31" t="s">
        <v>5</v>
      </c>
      <c r="F154" s="31" t="s">
        <v>11</v>
      </c>
      <c r="G154" s="31" t="s">
        <v>14</v>
      </c>
    </row>
    <row r="155" spans="1:7" ht="15.75" customHeight="1" x14ac:dyDescent="0.25">
      <c r="A155" s="16">
        <v>13</v>
      </c>
      <c r="B155" s="28">
        <v>10394</v>
      </c>
      <c r="C155" s="29" t="s">
        <v>1327</v>
      </c>
      <c r="D155" s="30" t="s">
        <v>1328</v>
      </c>
      <c r="E155" s="31" t="s">
        <v>6</v>
      </c>
      <c r="F155" s="31" t="s">
        <v>11</v>
      </c>
      <c r="G155" s="31" t="s">
        <v>14</v>
      </c>
    </row>
    <row r="156" spans="1:7" ht="15.75" customHeight="1" x14ac:dyDescent="0.25">
      <c r="A156" s="16">
        <v>14</v>
      </c>
      <c r="B156" s="28">
        <v>10397</v>
      </c>
      <c r="C156" s="29" t="s">
        <v>1329</v>
      </c>
      <c r="D156" s="30" t="s">
        <v>1330</v>
      </c>
      <c r="E156" s="31" t="s">
        <v>5</v>
      </c>
      <c r="F156" s="31" t="s">
        <v>11</v>
      </c>
      <c r="G156" s="31" t="s">
        <v>14</v>
      </c>
    </row>
    <row r="157" spans="1:7" ht="15.75" customHeight="1" x14ac:dyDescent="0.25">
      <c r="A157" s="16">
        <v>15</v>
      </c>
      <c r="B157" s="28">
        <v>10399</v>
      </c>
      <c r="C157" s="29" t="s">
        <v>1331</v>
      </c>
      <c r="D157" s="30" t="s">
        <v>1332</v>
      </c>
      <c r="E157" s="31" t="s">
        <v>6</v>
      </c>
      <c r="F157" s="31" t="s">
        <v>11</v>
      </c>
      <c r="G157" s="31" t="s">
        <v>14</v>
      </c>
    </row>
    <row r="158" spans="1:7" ht="15.75" customHeight="1" x14ac:dyDescent="0.25">
      <c r="A158" s="16">
        <v>16</v>
      </c>
      <c r="B158" s="28">
        <v>10414</v>
      </c>
      <c r="C158" s="29" t="s">
        <v>1333</v>
      </c>
      <c r="D158" s="30" t="s">
        <v>1334</v>
      </c>
      <c r="E158" s="31" t="s">
        <v>6</v>
      </c>
      <c r="F158" s="31" t="s">
        <v>11</v>
      </c>
      <c r="G158" s="31" t="s">
        <v>14</v>
      </c>
    </row>
    <row r="159" spans="1:7" ht="15.75" customHeight="1" x14ac:dyDescent="0.25">
      <c r="A159" s="16">
        <v>17</v>
      </c>
      <c r="B159" s="28">
        <v>10421</v>
      </c>
      <c r="C159" s="29" t="s">
        <v>1335</v>
      </c>
      <c r="D159" s="30" t="s">
        <v>1336</v>
      </c>
      <c r="E159" s="31" t="s">
        <v>6</v>
      </c>
      <c r="F159" s="31" t="s">
        <v>11</v>
      </c>
      <c r="G159" s="31" t="s">
        <v>14</v>
      </c>
    </row>
    <row r="160" spans="1:7" ht="15.75" customHeight="1" x14ac:dyDescent="0.25">
      <c r="A160" s="16">
        <v>18</v>
      </c>
      <c r="B160" s="28">
        <v>10427</v>
      </c>
      <c r="C160" s="29" t="s">
        <v>1337</v>
      </c>
      <c r="D160" s="30" t="s">
        <v>1338</v>
      </c>
      <c r="E160" s="31" t="s">
        <v>6</v>
      </c>
      <c r="F160" s="31" t="s">
        <v>11</v>
      </c>
      <c r="G160" s="31" t="s">
        <v>14</v>
      </c>
    </row>
    <row r="161" spans="1:7" ht="15.75" customHeight="1" x14ac:dyDescent="0.25">
      <c r="A161" s="16">
        <v>19</v>
      </c>
      <c r="B161" s="28">
        <v>10436</v>
      </c>
      <c r="C161" s="29" t="s">
        <v>1339</v>
      </c>
      <c r="D161" s="30" t="s">
        <v>1340</v>
      </c>
      <c r="E161" s="31" t="s">
        <v>5</v>
      </c>
      <c r="F161" s="31" t="s">
        <v>11</v>
      </c>
      <c r="G161" s="31" t="s">
        <v>14</v>
      </c>
    </row>
    <row r="162" spans="1:7" ht="15.75" customHeight="1" x14ac:dyDescent="0.25">
      <c r="A162" s="16">
        <v>20</v>
      </c>
      <c r="B162" s="28">
        <v>10446</v>
      </c>
      <c r="C162" s="29" t="s">
        <v>1341</v>
      </c>
      <c r="D162" s="30" t="s">
        <v>1342</v>
      </c>
      <c r="E162" s="31" t="s">
        <v>6</v>
      </c>
      <c r="F162" s="31" t="s">
        <v>11</v>
      </c>
      <c r="G162" s="31" t="s">
        <v>14</v>
      </c>
    </row>
    <row r="163" spans="1:7" ht="15.75" customHeight="1" x14ac:dyDescent="0.25">
      <c r="A163" s="16">
        <v>21</v>
      </c>
      <c r="B163" s="28">
        <v>10448</v>
      </c>
      <c r="C163" s="29" t="s">
        <v>1343</v>
      </c>
      <c r="D163" s="32" t="s">
        <v>1344</v>
      </c>
      <c r="E163" s="31" t="s">
        <v>6</v>
      </c>
      <c r="F163" s="31" t="s">
        <v>11</v>
      </c>
      <c r="G163" s="31" t="s">
        <v>14</v>
      </c>
    </row>
    <row r="164" spans="1:7" ht="15.75" customHeight="1" x14ac:dyDescent="0.25">
      <c r="A164" s="16">
        <v>22</v>
      </c>
      <c r="B164" s="28">
        <v>10450</v>
      </c>
      <c r="C164" s="29" t="s">
        <v>1345</v>
      </c>
      <c r="D164" s="30" t="s">
        <v>1346</v>
      </c>
      <c r="E164" s="31" t="s">
        <v>6</v>
      </c>
      <c r="F164" s="31" t="s">
        <v>11</v>
      </c>
      <c r="G164" s="31" t="s">
        <v>14</v>
      </c>
    </row>
    <row r="165" spans="1:7" ht="15.75" customHeight="1" x14ac:dyDescent="0.25">
      <c r="A165" s="16">
        <v>23</v>
      </c>
      <c r="B165" s="28">
        <v>10455</v>
      </c>
      <c r="C165" s="29" t="s">
        <v>1347</v>
      </c>
      <c r="D165" s="30" t="s">
        <v>1348</v>
      </c>
      <c r="E165" s="31" t="s">
        <v>6</v>
      </c>
      <c r="F165" s="31" t="s">
        <v>11</v>
      </c>
      <c r="G165" s="31" t="s">
        <v>14</v>
      </c>
    </row>
    <row r="166" spans="1:7" ht="15.75" customHeight="1" x14ac:dyDescent="0.25">
      <c r="A166" s="16">
        <v>24</v>
      </c>
      <c r="B166" s="28">
        <v>10461</v>
      </c>
      <c r="C166" s="29" t="s">
        <v>1349</v>
      </c>
      <c r="D166" s="30" t="s">
        <v>1350</v>
      </c>
      <c r="E166" s="31" t="s">
        <v>6</v>
      </c>
      <c r="F166" s="31" t="s">
        <v>11</v>
      </c>
      <c r="G166" s="31" t="s">
        <v>14</v>
      </c>
    </row>
    <row r="167" spans="1:7" ht="15.75" customHeight="1" x14ac:dyDescent="0.25">
      <c r="A167" s="16">
        <v>25</v>
      </c>
      <c r="B167" s="28">
        <v>10462</v>
      </c>
      <c r="C167" s="29" t="s">
        <v>1351</v>
      </c>
      <c r="D167" s="30" t="s">
        <v>1352</v>
      </c>
      <c r="E167" s="31" t="s">
        <v>6</v>
      </c>
      <c r="F167" s="31" t="s">
        <v>11</v>
      </c>
      <c r="G167" s="31" t="s">
        <v>14</v>
      </c>
    </row>
    <row r="168" spans="1:7" ht="15.75" customHeight="1" x14ac:dyDescent="0.25">
      <c r="A168" s="16">
        <v>26</v>
      </c>
      <c r="B168" s="28">
        <v>10464</v>
      </c>
      <c r="C168" s="29" t="s">
        <v>1353</v>
      </c>
      <c r="D168" s="30" t="s">
        <v>1354</v>
      </c>
      <c r="E168" s="31" t="s">
        <v>6</v>
      </c>
      <c r="F168" s="31" t="s">
        <v>11</v>
      </c>
      <c r="G168" s="31" t="s">
        <v>14</v>
      </c>
    </row>
    <row r="169" spans="1:7" ht="15.75" customHeight="1" x14ac:dyDescent="0.25">
      <c r="A169" s="16">
        <v>27</v>
      </c>
      <c r="B169" s="28">
        <v>10466</v>
      </c>
      <c r="C169" s="29" t="s">
        <v>1355</v>
      </c>
      <c r="D169" s="30" t="s">
        <v>1356</v>
      </c>
      <c r="E169" s="31" t="s">
        <v>5</v>
      </c>
      <c r="F169" s="31" t="s">
        <v>11</v>
      </c>
      <c r="G169" s="31" t="s">
        <v>14</v>
      </c>
    </row>
    <row r="170" spans="1:7" ht="15.75" customHeight="1" x14ac:dyDescent="0.25">
      <c r="A170" s="16">
        <v>28</v>
      </c>
      <c r="B170" s="28">
        <v>10467</v>
      </c>
      <c r="C170" s="29" t="s">
        <v>1357</v>
      </c>
      <c r="D170" s="30" t="s">
        <v>1358</v>
      </c>
      <c r="E170" s="31" t="s">
        <v>5</v>
      </c>
      <c r="F170" s="31" t="s">
        <v>11</v>
      </c>
      <c r="G170" s="31" t="s">
        <v>14</v>
      </c>
    </row>
    <row r="171" spans="1:7" ht="15.75" customHeight="1" x14ac:dyDescent="0.25">
      <c r="A171" s="16">
        <v>29</v>
      </c>
      <c r="B171" s="28">
        <v>10469</v>
      </c>
      <c r="C171" s="34" t="s">
        <v>1359</v>
      </c>
      <c r="D171" s="30" t="s">
        <v>1360</v>
      </c>
      <c r="E171" s="31" t="s">
        <v>5</v>
      </c>
      <c r="F171" s="31" t="s">
        <v>11</v>
      </c>
      <c r="G171" s="31" t="s">
        <v>14</v>
      </c>
    </row>
    <row r="172" spans="1:7" ht="15.75" customHeight="1" x14ac:dyDescent="0.25">
      <c r="A172" s="16">
        <v>30</v>
      </c>
      <c r="B172" s="28">
        <v>10474</v>
      </c>
      <c r="C172" s="29" t="s">
        <v>1361</v>
      </c>
      <c r="D172" s="30" t="s">
        <v>1362</v>
      </c>
      <c r="E172" s="31" t="s">
        <v>6</v>
      </c>
      <c r="F172" s="31" t="s">
        <v>11</v>
      </c>
      <c r="G172" s="31" t="s">
        <v>14</v>
      </c>
    </row>
    <row r="173" spans="1:7" ht="15.75" customHeight="1" x14ac:dyDescent="0.25">
      <c r="A173" s="16">
        <v>31</v>
      </c>
      <c r="B173" s="28">
        <v>10478</v>
      </c>
      <c r="C173" s="29" t="s">
        <v>1363</v>
      </c>
      <c r="D173" s="30" t="s">
        <v>1364</v>
      </c>
      <c r="E173" s="31" t="s">
        <v>5</v>
      </c>
      <c r="F173" s="31" t="s">
        <v>11</v>
      </c>
      <c r="G173" s="31" t="s">
        <v>14</v>
      </c>
    </row>
    <row r="174" spans="1:7" ht="15.75" customHeight="1" x14ac:dyDescent="0.25">
      <c r="A174" s="16">
        <v>32</v>
      </c>
      <c r="B174" s="28">
        <v>10491</v>
      </c>
      <c r="C174" s="29" t="s">
        <v>1365</v>
      </c>
      <c r="D174" s="30" t="s">
        <v>1366</v>
      </c>
      <c r="E174" s="31" t="s">
        <v>6</v>
      </c>
      <c r="F174" s="31" t="s">
        <v>11</v>
      </c>
      <c r="G174" s="31" t="s">
        <v>14</v>
      </c>
    </row>
    <row r="175" spans="1:7" ht="15.75" customHeight="1" x14ac:dyDescent="0.25">
      <c r="A175" s="16">
        <v>33</v>
      </c>
      <c r="B175" s="28">
        <v>10492</v>
      </c>
      <c r="C175" s="34" t="s">
        <v>1367</v>
      </c>
      <c r="D175" s="30" t="s">
        <v>1368</v>
      </c>
      <c r="E175" s="31" t="s">
        <v>5</v>
      </c>
      <c r="F175" s="31" t="s">
        <v>11</v>
      </c>
      <c r="G175" s="31" t="s">
        <v>14</v>
      </c>
    </row>
    <row r="176" spans="1:7" ht="15.75" customHeight="1" x14ac:dyDescent="0.25">
      <c r="A176" s="16">
        <v>34</v>
      </c>
      <c r="B176" s="28">
        <v>10493</v>
      </c>
      <c r="C176" s="29" t="s">
        <v>1369</v>
      </c>
      <c r="D176" s="30" t="s">
        <v>1370</v>
      </c>
      <c r="E176" s="31" t="s">
        <v>6</v>
      </c>
      <c r="F176" s="31" t="s">
        <v>11</v>
      </c>
      <c r="G176" s="31" t="s">
        <v>14</v>
      </c>
    </row>
    <row r="177" spans="1:8" ht="15.75" customHeight="1" x14ac:dyDescent="0.25">
      <c r="A177" s="16">
        <v>35</v>
      </c>
      <c r="B177" s="28">
        <v>10498</v>
      </c>
      <c r="C177" s="29" t="s">
        <v>1371</v>
      </c>
      <c r="D177" s="32" t="s">
        <v>1372</v>
      </c>
      <c r="E177" s="31" t="s">
        <v>6</v>
      </c>
      <c r="F177" s="31" t="s">
        <v>11</v>
      </c>
      <c r="G177" s="31" t="s">
        <v>14</v>
      </c>
    </row>
    <row r="178" spans="1:8" ht="15.75" customHeight="1" x14ac:dyDescent="0.25">
      <c r="A178" s="16">
        <v>36</v>
      </c>
      <c r="B178" s="33"/>
      <c r="C178" s="34"/>
      <c r="D178" s="35"/>
      <c r="E178" s="36"/>
      <c r="F178" s="36"/>
      <c r="G178" s="31"/>
    </row>
    <row r="179" spans="1:8" ht="15.75" customHeight="1" x14ac:dyDescent="0.2">
      <c r="A179" s="3" t="s">
        <v>5</v>
      </c>
      <c r="B179" s="3">
        <f>COUNTIF(E143:E178,A179)</f>
        <v>12</v>
      </c>
      <c r="C179" s="1" t="s">
        <v>8</v>
      </c>
      <c r="D179" s="6" t="s">
        <v>11</v>
      </c>
      <c r="E179" s="3">
        <f>COUNTIF(F143:F178,D179)</f>
        <v>35</v>
      </c>
      <c r="F179" s="3"/>
      <c r="G179" s="7"/>
      <c r="H179" s="9"/>
    </row>
    <row r="180" spans="1:8" ht="15.75" customHeight="1" x14ac:dyDescent="0.2">
      <c r="A180" s="3" t="s">
        <v>6</v>
      </c>
      <c r="B180" s="5">
        <f>COUNTIF(E143:E178,A180)</f>
        <v>23</v>
      </c>
      <c r="C180" s="1" t="s">
        <v>8</v>
      </c>
      <c r="D180" s="6" t="s">
        <v>49</v>
      </c>
      <c r="E180" s="3">
        <f>COUNTIF(F143:F178,D180)</f>
        <v>0</v>
      </c>
      <c r="F180" s="3"/>
      <c r="G180" s="7"/>
      <c r="H180" s="9"/>
    </row>
    <row r="181" spans="1:8" ht="15.75" customHeight="1" x14ac:dyDescent="0.2">
      <c r="A181" s="3" t="s">
        <v>7</v>
      </c>
      <c r="B181" s="3">
        <f>B179+B180</f>
        <v>35</v>
      </c>
      <c r="C181" s="1" t="s">
        <v>8</v>
      </c>
      <c r="D181" s="6" t="s">
        <v>12</v>
      </c>
      <c r="E181" s="3">
        <f>COUNTIF(F143:F178,D181)</f>
        <v>0</v>
      </c>
      <c r="F181" s="3"/>
      <c r="G181" s="7"/>
      <c r="H181" s="9"/>
    </row>
    <row r="182" spans="1:8" ht="15.75" customHeight="1" x14ac:dyDescent="0.2">
      <c r="D182" s="40" t="s">
        <v>13</v>
      </c>
      <c r="E182" s="41">
        <f>COUNTIF(G143:G178,D182)</f>
        <v>0</v>
      </c>
      <c r="F182" s="3"/>
      <c r="G182" s="7"/>
      <c r="H182" s="9"/>
    </row>
    <row r="183" spans="1:8" ht="15.75" customHeight="1" x14ac:dyDescent="0.2">
      <c r="D183" s="40" t="s">
        <v>14</v>
      </c>
      <c r="E183" s="41">
        <f>COUNTIF(G143:G178,D183)</f>
        <v>35</v>
      </c>
      <c r="F183" s="3"/>
      <c r="G183" s="7"/>
      <c r="H183" s="9"/>
    </row>
    <row r="184" spans="1:8" ht="15.75" customHeight="1" x14ac:dyDescent="0.2">
      <c r="A184" s="10" t="s">
        <v>54</v>
      </c>
      <c r="B184" s="10"/>
      <c r="C184" s="10"/>
      <c r="D184" s="19"/>
      <c r="E184" s="8"/>
      <c r="F184" s="8"/>
      <c r="G184" s="7"/>
    </row>
    <row r="185" spans="1:8" ht="15.75" customHeight="1" x14ac:dyDescent="0.2">
      <c r="A185" s="88" t="s">
        <v>0</v>
      </c>
      <c r="B185" s="89"/>
      <c r="C185" s="89"/>
      <c r="D185" s="90" t="s">
        <v>1</v>
      </c>
      <c r="E185" s="92" t="s">
        <v>9</v>
      </c>
      <c r="F185" s="86" t="s">
        <v>10</v>
      </c>
      <c r="G185" s="96" t="s">
        <v>48</v>
      </c>
    </row>
    <row r="186" spans="1:8" ht="15.75" customHeight="1" x14ac:dyDescent="0.2">
      <c r="A186" s="20" t="s">
        <v>2</v>
      </c>
      <c r="B186" s="20" t="s">
        <v>3</v>
      </c>
      <c r="C186" s="21" t="s">
        <v>4</v>
      </c>
      <c r="D186" s="91"/>
      <c r="E186" s="93"/>
      <c r="F186" s="87"/>
      <c r="G186" s="97"/>
    </row>
    <row r="187" spans="1:8" ht="15.75" customHeight="1" x14ac:dyDescent="0.25">
      <c r="A187" s="16">
        <v>1</v>
      </c>
      <c r="B187" s="28">
        <v>10275</v>
      </c>
      <c r="C187" s="26" t="s">
        <v>1373</v>
      </c>
      <c r="D187" s="27" t="s">
        <v>1374</v>
      </c>
      <c r="E187" s="18" t="s">
        <v>6</v>
      </c>
      <c r="F187" s="31" t="s">
        <v>11</v>
      </c>
      <c r="G187" s="31" t="s">
        <v>13</v>
      </c>
    </row>
    <row r="188" spans="1:8" ht="15.75" customHeight="1" x14ac:dyDescent="0.25">
      <c r="A188" s="16">
        <v>2</v>
      </c>
      <c r="B188" s="28">
        <v>10279</v>
      </c>
      <c r="C188" s="29" t="s">
        <v>1375</v>
      </c>
      <c r="D188" s="30" t="s">
        <v>1376</v>
      </c>
      <c r="E188" s="31" t="s">
        <v>5</v>
      </c>
      <c r="F188" s="31" t="s">
        <v>11</v>
      </c>
      <c r="G188" s="31" t="s">
        <v>13</v>
      </c>
    </row>
    <row r="189" spans="1:8" ht="15.75" customHeight="1" x14ac:dyDescent="0.25">
      <c r="A189" s="16">
        <v>3</v>
      </c>
      <c r="B189" s="28">
        <v>10283</v>
      </c>
      <c r="C189" s="29" t="s">
        <v>1377</v>
      </c>
      <c r="D189" s="30" t="s">
        <v>1378</v>
      </c>
      <c r="E189" s="31" t="s">
        <v>6</v>
      </c>
      <c r="F189" s="31" t="s">
        <v>11</v>
      </c>
      <c r="G189" s="31" t="s">
        <v>13</v>
      </c>
    </row>
    <row r="190" spans="1:8" ht="15.75" customHeight="1" x14ac:dyDescent="0.25">
      <c r="A190" s="16">
        <v>4</v>
      </c>
      <c r="B190" s="28">
        <v>10285</v>
      </c>
      <c r="C190" s="29" t="s">
        <v>1379</v>
      </c>
      <c r="D190" s="30" t="s">
        <v>1380</v>
      </c>
      <c r="E190" s="31" t="s">
        <v>5</v>
      </c>
      <c r="F190" s="31" t="s">
        <v>11</v>
      </c>
      <c r="G190" s="31" t="s">
        <v>13</v>
      </c>
    </row>
    <row r="191" spans="1:8" ht="15.75" customHeight="1" x14ac:dyDescent="0.25">
      <c r="A191" s="16">
        <v>5</v>
      </c>
      <c r="B191" s="28">
        <v>10297</v>
      </c>
      <c r="C191" s="29" t="s">
        <v>1381</v>
      </c>
      <c r="D191" s="30" t="s">
        <v>1382</v>
      </c>
      <c r="E191" s="31" t="s">
        <v>6</v>
      </c>
      <c r="F191" s="31" t="s">
        <v>11</v>
      </c>
      <c r="G191" s="31" t="s">
        <v>13</v>
      </c>
    </row>
    <row r="192" spans="1:8" ht="15.75" customHeight="1" x14ac:dyDescent="0.25">
      <c r="A192" s="16">
        <v>6</v>
      </c>
      <c r="B192" s="28">
        <v>10301</v>
      </c>
      <c r="C192" s="29" t="s">
        <v>1383</v>
      </c>
      <c r="D192" s="32" t="s">
        <v>1384</v>
      </c>
      <c r="E192" s="31" t="s">
        <v>6</v>
      </c>
      <c r="F192" s="31" t="s">
        <v>11</v>
      </c>
      <c r="G192" s="31" t="s">
        <v>13</v>
      </c>
    </row>
    <row r="193" spans="1:7" ht="15.75" customHeight="1" x14ac:dyDescent="0.25">
      <c r="A193" s="16">
        <v>7</v>
      </c>
      <c r="B193" s="28">
        <v>10305</v>
      </c>
      <c r="C193" s="29" t="s">
        <v>1385</v>
      </c>
      <c r="D193" s="32" t="s">
        <v>1386</v>
      </c>
      <c r="E193" s="31" t="s">
        <v>5</v>
      </c>
      <c r="F193" s="31" t="s">
        <v>11</v>
      </c>
      <c r="G193" s="31" t="s">
        <v>13</v>
      </c>
    </row>
    <row r="194" spans="1:7" ht="15.75" customHeight="1" x14ac:dyDescent="0.25">
      <c r="A194" s="16">
        <v>8</v>
      </c>
      <c r="B194" s="28">
        <v>10306</v>
      </c>
      <c r="C194" s="29" t="s">
        <v>1387</v>
      </c>
      <c r="D194" s="30" t="s">
        <v>1388</v>
      </c>
      <c r="E194" s="31" t="s">
        <v>6</v>
      </c>
      <c r="F194" s="31" t="s">
        <v>11</v>
      </c>
      <c r="G194" s="31" t="s">
        <v>13</v>
      </c>
    </row>
    <row r="195" spans="1:7" ht="15.75" customHeight="1" x14ac:dyDescent="0.25">
      <c r="A195" s="16">
        <v>9</v>
      </c>
      <c r="B195" s="28">
        <v>10311</v>
      </c>
      <c r="C195" s="29" t="s">
        <v>1389</v>
      </c>
      <c r="D195" s="30" t="s">
        <v>1390</v>
      </c>
      <c r="E195" s="31" t="s">
        <v>6</v>
      </c>
      <c r="F195" s="31" t="s">
        <v>11</v>
      </c>
      <c r="G195" s="31" t="s">
        <v>13</v>
      </c>
    </row>
    <row r="196" spans="1:7" ht="15.75" customHeight="1" x14ac:dyDescent="0.25">
      <c r="A196" s="16">
        <v>10</v>
      </c>
      <c r="B196" s="28">
        <v>10314</v>
      </c>
      <c r="C196" s="29" t="s">
        <v>1391</v>
      </c>
      <c r="D196" s="30" t="s">
        <v>1392</v>
      </c>
      <c r="E196" s="31" t="s">
        <v>6</v>
      </c>
      <c r="F196" s="31" t="s">
        <v>11</v>
      </c>
      <c r="G196" s="31" t="s">
        <v>13</v>
      </c>
    </row>
    <row r="197" spans="1:7" ht="15.75" customHeight="1" x14ac:dyDescent="0.25">
      <c r="A197" s="16">
        <v>11</v>
      </c>
      <c r="B197" s="28">
        <v>10323</v>
      </c>
      <c r="C197" s="29" t="s">
        <v>1393</v>
      </c>
      <c r="D197" s="30" t="s">
        <v>1394</v>
      </c>
      <c r="E197" s="31" t="s">
        <v>6</v>
      </c>
      <c r="F197" s="31" t="s">
        <v>11</v>
      </c>
      <c r="G197" s="31" t="s">
        <v>13</v>
      </c>
    </row>
    <row r="198" spans="1:7" ht="15.75" customHeight="1" x14ac:dyDescent="0.25">
      <c r="A198" s="16">
        <v>12</v>
      </c>
      <c r="B198" s="28">
        <v>10327</v>
      </c>
      <c r="C198" s="29" t="s">
        <v>1395</v>
      </c>
      <c r="D198" s="30" t="s">
        <v>1396</v>
      </c>
      <c r="E198" s="31" t="s">
        <v>5</v>
      </c>
      <c r="F198" s="31" t="s">
        <v>11</v>
      </c>
      <c r="G198" s="31" t="s">
        <v>13</v>
      </c>
    </row>
    <row r="199" spans="1:7" ht="15.75" customHeight="1" x14ac:dyDescent="0.25">
      <c r="A199" s="16">
        <v>13</v>
      </c>
      <c r="B199" s="28">
        <v>10333</v>
      </c>
      <c r="C199" s="29" t="s">
        <v>1397</v>
      </c>
      <c r="D199" s="32" t="s">
        <v>1398</v>
      </c>
      <c r="E199" s="31" t="s">
        <v>6</v>
      </c>
      <c r="F199" s="31" t="s">
        <v>11</v>
      </c>
      <c r="G199" s="31" t="s">
        <v>13</v>
      </c>
    </row>
    <row r="200" spans="1:7" ht="15.75" customHeight="1" x14ac:dyDescent="0.25">
      <c r="A200" s="16">
        <v>14</v>
      </c>
      <c r="B200" s="28">
        <v>10335</v>
      </c>
      <c r="C200" s="29" t="s">
        <v>1399</v>
      </c>
      <c r="D200" s="30" t="s">
        <v>1400</v>
      </c>
      <c r="E200" s="31" t="s">
        <v>6</v>
      </c>
      <c r="F200" s="31" t="s">
        <v>11</v>
      </c>
      <c r="G200" s="31" t="s">
        <v>13</v>
      </c>
    </row>
    <row r="201" spans="1:7" ht="15.75" customHeight="1" x14ac:dyDescent="0.25">
      <c r="A201" s="16">
        <v>15</v>
      </c>
      <c r="B201" s="28">
        <v>10364</v>
      </c>
      <c r="C201" s="29" t="s">
        <v>1401</v>
      </c>
      <c r="D201" s="30" t="s">
        <v>1402</v>
      </c>
      <c r="E201" s="31" t="s">
        <v>5</v>
      </c>
      <c r="F201" s="31" t="s">
        <v>11</v>
      </c>
      <c r="G201" s="31" t="s">
        <v>13</v>
      </c>
    </row>
    <row r="202" spans="1:7" ht="15.75" customHeight="1" x14ac:dyDescent="0.25">
      <c r="A202" s="16">
        <v>16</v>
      </c>
      <c r="B202" s="28">
        <v>10373</v>
      </c>
      <c r="C202" s="29" t="s">
        <v>1403</v>
      </c>
      <c r="D202" s="30" t="s">
        <v>1404</v>
      </c>
      <c r="E202" s="31" t="s">
        <v>6</v>
      </c>
      <c r="F202" s="31" t="s">
        <v>11</v>
      </c>
      <c r="G202" s="31" t="s">
        <v>13</v>
      </c>
    </row>
    <row r="203" spans="1:7" ht="15.75" customHeight="1" x14ac:dyDescent="0.25">
      <c r="A203" s="16">
        <v>17</v>
      </c>
      <c r="B203" s="28">
        <v>10386</v>
      </c>
      <c r="C203" s="29" t="s">
        <v>1405</v>
      </c>
      <c r="D203" s="30" t="s">
        <v>1406</v>
      </c>
      <c r="E203" s="31" t="s">
        <v>5</v>
      </c>
      <c r="F203" s="31" t="s">
        <v>11</v>
      </c>
      <c r="G203" s="31" t="s">
        <v>13</v>
      </c>
    </row>
    <row r="204" spans="1:7" ht="15.75" customHeight="1" x14ac:dyDescent="0.25">
      <c r="A204" s="16">
        <v>18</v>
      </c>
      <c r="B204" s="28">
        <v>10387</v>
      </c>
      <c r="C204" s="29" t="s">
        <v>1407</v>
      </c>
      <c r="D204" s="30" t="s">
        <v>1408</v>
      </c>
      <c r="E204" s="31" t="s">
        <v>5</v>
      </c>
      <c r="F204" s="31" t="s">
        <v>11</v>
      </c>
      <c r="G204" s="31" t="s">
        <v>13</v>
      </c>
    </row>
    <row r="205" spans="1:7" ht="15.75" customHeight="1" x14ac:dyDescent="0.25">
      <c r="A205" s="16">
        <v>19</v>
      </c>
      <c r="B205" s="28">
        <v>10391</v>
      </c>
      <c r="C205" s="29" t="s">
        <v>1409</v>
      </c>
      <c r="D205" s="30" t="s">
        <v>1410</v>
      </c>
      <c r="E205" s="31" t="s">
        <v>6</v>
      </c>
      <c r="F205" s="31" t="s">
        <v>11</v>
      </c>
      <c r="G205" s="31" t="s">
        <v>13</v>
      </c>
    </row>
    <row r="206" spans="1:7" ht="15.75" customHeight="1" x14ac:dyDescent="0.25">
      <c r="A206" s="16">
        <v>20</v>
      </c>
      <c r="B206" s="28">
        <v>10404</v>
      </c>
      <c r="C206" s="29" t="s">
        <v>1411</v>
      </c>
      <c r="D206" s="30" t="s">
        <v>1412</v>
      </c>
      <c r="E206" s="31" t="s">
        <v>6</v>
      </c>
      <c r="F206" s="31" t="s">
        <v>11</v>
      </c>
      <c r="G206" s="31" t="s">
        <v>13</v>
      </c>
    </row>
    <row r="207" spans="1:7" ht="15.75" customHeight="1" x14ac:dyDescent="0.25">
      <c r="A207" s="16">
        <v>21</v>
      </c>
      <c r="B207" s="28">
        <v>10410</v>
      </c>
      <c r="C207" s="29" t="s">
        <v>1413</v>
      </c>
      <c r="D207" s="30" t="s">
        <v>1414</v>
      </c>
      <c r="E207" s="31" t="s">
        <v>6</v>
      </c>
      <c r="F207" s="31" t="s">
        <v>11</v>
      </c>
      <c r="G207" s="31" t="s">
        <v>13</v>
      </c>
    </row>
    <row r="208" spans="1:7" ht="15.75" customHeight="1" x14ac:dyDescent="0.25">
      <c r="A208" s="16">
        <v>22</v>
      </c>
      <c r="B208" s="28">
        <v>10420</v>
      </c>
      <c r="C208" s="29" t="s">
        <v>1415</v>
      </c>
      <c r="D208" s="30" t="s">
        <v>1416</v>
      </c>
      <c r="E208" s="31" t="s">
        <v>5</v>
      </c>
      <c r="F208" s="31" t="s">
        <v>11</v>
      </c>
      <c r="G208" s="31" t="s">
        <v>13</v>
      </c>
    </row>
    <row r="209" spans="1:8" ht="15.75" customHeight="1" x14ac:dyDescent="0.25">
      <c r="A209" s="16">
        <v>23</v>
      </c>
      <c r="B209" s="28">
        <v>10429</v>
      </c>
      <c r="C209" s="29" t="s">
        <v>1417</v>
      </c>
      <c r="D209" s="32" t="s">
        <v>1418</v>
      </c>
      <c r="E209" s="31" t="s">
        <v>6</v>
      </c>
      <c r="F209" s="31" t="s">
        <v>11</v>
      </c>
      <c r="G209" s="31" t="s">
        <v>13</v>
      </c>
    </row>
    <row r="210" spans="1:8" ht="15.75" customHeight="1" x14ac:dyDescent="0.25">
      <c r="A210" s="16">
        <v>24</v>
      </c>
      <c r="B210" s="28">
        <v>10433</v>
      </c>
      <c r="C210" s="29" t="s">
        <v>1419</v>
      </c>
      <c r="D210" s="30" t="s">
        <v>1420</v>
      </c>
      <c r="E210" s="31" t="s">
        <v>5</v>
      </c>
      <c r="F210" s="31" t="s">
        <v>11</v>
      </c>
      <c r="G210" s="31" t="s">
        <v>13</v>
      </c>
    </row>
    <row r="211" spans="1:8" ht="15.75" customHeight="1" x14ac:dyDescent="0.25">
      <c r="A211" s="16">
        <v>25</v>
      </c>
      <c r="B211" s="28">
        <v>10438</v>
      </c>
      <c r="C211" s="29" t="s">
        <v>1421</v>
      </c>
      <c r="D211" s="32" t="s">
        <v>1422</v>
      </c>
      <c r="E211" s="31" t="s">
        <v>5</v>
      </c>
      <c r="F211" s="31" t="s">
        <v>11</v>
      </c>
      <c r="G211" s="31" t="s">
        <v>13</v>
      </c>
    </row>
    <row r="212" spans="1:8" ht="15.75" customHeight="1" x14ac:dyDescent="0.25">
      <c r="A212" s="16">
        <v>26</v>
      </c>
      <c r="B212" s="28">
        <v>10440</v>
      </c>
      <c r="C212" s="29" t="s">
        <v>1423</v>
      </c>
      <c r="D212" s="30" t="s">
        <v>1424</v>
      </c>
      <c r="E212" s="31" t="s">
        <v>5</v>
      </c>
      <c r="F212" s="31" t="s">
        <v>11</v>
      </c>
      <c r="G212" s="31" t="s">
        <v>13</v>
      </c>
    </row>
    <row r="213" spans="1:8" ht="15.75" customHeight="1" x14ac:dyDescent="0.25">
      <c r="A213" s="16">
        <v>27</v>
      </c>
      <c r="B213" s="28">
        <v>10441</v>
      </c>
      <c r="C213" s="29" t="s">
        <v>1425</v>
      </c>
      <c r="D213" s="30" t="s">
        <v>1426</v>
      </c>
      <c r="E213" s="31" t="s">
        <v>6</v>
      </c>
      <c r="F213" s="31" t="s">
        <v>11</v>
      </c>
      <c r="G213" s="31" t="s">
        <v>13</v>
      </c>
    </row>
    <row r="214" spans="1:8" ht="15.75" customHeight="1" x14ac:dyDescent="0.25">
      <c r="A214" s="16">
        <v>28</v>
      </c>
      <c r="B214" s="28">
        <v>10451</v>
      </c>
      <c r="C214" s="29" t="s">
        <v>1427</v>
      </c>
      <c r="D214" s="30" t="s">
        <v>1428</v>
      </c>
      <c r="E214" s="31" t="s">
        <v>6</v>
      </c>
      <c r="F214" s="31" t="s">
        <v>11</v>
      </c>
      <c r="G214" s="31" t="s">
        <v>13</v>
      </c>
    </row>
    <row r="215" spans="1:8" ht="15.75" customHeight="1" x14ac:dyDescent="0.25">
      <c r="A215" s="16">
        <v>29</v>
      </c>
      <c r="B215" s="28">
        <v>10456</v>
      </c>
      <c r="C215" s="34" t="s">
        <v>1429</v>
      </c>
      <c r="D215" s="30" t="s">
        <v>1430</v>
      </c>
      <c r="E215" s="31" t="s">
        <v>6</v>
      </c>
      <c r="F215" s="31" t="s">
        <v>11</v>
      </c>
      <c r="G215" s="31" t="s">
        <v>13</v>
      </c>
    </row>
    <row r="216" spans="1:8" ht="15.75" customHeight="1" x14ac:dyDescent="0.25">
      <c r="A216" s="16">
        <v>30</v>
      </c>
      <c r="B216" s="28">
        <v>10470</v>
      </c>
      <c r="C216" s="29" t="s">
        <v>1431</v>
      </c>
      <c r="D216" s="30" t="s">
        <v>1432</v>
      </c>
      <c r="E216" s="31" t="s">
        <v>6</v>
      </c>
      <c r="F216" s="31" t="s">
        <v>11</v>
      </c>
      <c r="G216" s="31" t="s">
        <v>13</v>
      </c>
    </row>
    <row r="217" spans="1:8" ht="15.75" customHeight="1" x14ac:dyDescent="0.25">
      <c r="A217" s="16">
        <v>31</v>
      </c>
      <c r="B217" s="28">
        <v>10485</v>
      </c>
      <c r="C217" s="29" t="s">
        <v>1433</v>
      </c>
      <c r="D217" s="30" t="s">
        <v>1434</v>
      </c>
      <c r="E217" s="31" t="s">
        <v>6</v>
      </c>
      <c r="F217" s="31" t="s">
        <v>11</v>
      </c>
      <c r="G217" s="31" t="s">
        <v>13</v>
      </c>
    </row>
    <row r="218" spans="1:8" ht="15.75" customHeight="1" x14ac:dyDescent="0.25">
      <c r="A218" s="16">
        <v>32</v>
      </c>
      <c r="B218" s="28">
        <v>10490</v>
      </c>
      <c r="C218" s="29" t="s">
        <v>1435</v>
      </c>
      <c r="D218" s="30" t="s">
        <v>1436</v>
      </c>
      <c r="E218" s="31" t="s">
        <v>6</v>
      </c>
      <c r="F218" s="31" t="s">
        <v>11</v>
      </c>
      <c r="G218" s="31" t="s">
        <v>13</v>
      </c>
    </row>
    <row r="219" spans="1:8" ht="15.75" customHeight="1" x14ac:dyDescent="0.25">
      <c r="A219" s="16">
        <v>33</v>
      </c>
      <c r="B219" s="28">
        <v>10504</v>
      </c>
      <c r="C219" s="29" t="s">
        <v>1437</v>
      </c>
      <c r="D219" s="30" t="s">
        <v>1438</v>
      </c>
      <c r="E219" s="31" t="s">
        <v>6</v>
      </c>
      <c r="F219" s="31" t="s">
        <v>11</v>
      </c>
      <c r="G219" s="31" t="s">
        <v>13</v>
      </c>
    </row>
    <row r="220" spans="1:8" ht="15.75" customHeight="1" x14ac:dyDescent="0.25">
      <c r="A220" s="16">
        <v>34</v>
      </c>
      <c r="B220" s="28">
        <v>10511</v>
      </c>
      <c r="C220" s="29" t="s">
        <v>1439</v>
      </c>
      <c r="D220" s="30" t="s">
        <v>1440</v>
      </c>
      <c r="E220" s="31" t="s">
        <v>6</v>
      </c>
      <c r="F220" s="31" t="s">
        <v>11</v>
      </c>
      <c r="G220" s="31" t="s">
        <v>13</v>
      </c>
    </row>
    <row r="221" spans="1:8" ht="15.75" customHeight="1" x14ac:dyDescent="0.25">
      <c r="A221" s="16">
        <v>35</v>
      </c>
      <c r="B221" s="28">
        <v>10518</v>
      </c>
      <c r="C221" s="29" t="s">
        <v>1441</v>
      </c>
      <c r="D221" s="30" t="s">
        <v>1442</v>
      </c>
      <c r="E221" s="31" t="s">
        <v>6</v>
      </c>
      <c r="F221" s="31" t="s">
        <v>11</v>
      </c>
      <c r="G221" s="31" t="s">
        <v>13</v>
      </c>
    </row>
    <row r="222" spans="1:8" ht="15.75" customHeight="1" x14ac:dyDescent="0.25">
      <c r="A222" s="16">
        <v>36</v>
      </c>
      <c r="B222" s="33">
        <v>10519</v>
      </c>
      <c r="C222" s="34" t="s">
        <v>1443</v>
      </c>
      <c r="D222" s="39" t="s">
        <v>1444</v>
      </c>
      <c r="E222" s="36" t="s">
        <v>5</v>
      </c>
      <c r="F222" s="36" t="s">
        <v>11</v>
      </c>
      <c r="G222" s="31" t="s">
        <v>13</v>
      </c>
    </row>
    <row r="223" spans="1:8" ht="15.75" customHeight="1" x14ac:dyDescent="0.2">
      <c r="A223" s="3" t="s">
        <v>5</v>
      </c>
      <c r="B223" s="3">
        <f>COUNTIF(E187:E222,A223)</f>
        <v>12</v>
      </c>
      <c r="C223" s="1" t="s">
        <v>8</v>
      </c>
      <c r="D223" s="6" t="s">
        <v>11</v>
      </c>
      <c r="E223" s="3">
        <f>COUNTIF(F187:F222,D223)</f>
        <v>36</v>
      </c>
      <c r="F223" s="3"/>
      <c r="G223" s="7"/>
      <c r="H223" s="9"/>
    </row>
    <row r="224" spans="1:8" ht="15.75" customHeight="1" x14ac:dyDescent="0.2">
      <c r="A224" s="3" t="s">
        <v>6</v>
      </c>
      <c r="B224" s="5">
        <f>COUNTIF(E187:E222,A224)</f>
        <v>24</v>
      </c>
      <c r="C224" s="1" t="s">
        <v>8</v>
      </c>
      <c r="D224" s="6" t="s">
        <v>49</v>
      </c>
      <c r="E224" s="3">
        <f>COUNTIF(F187:F222,D224)</f>
        <v>0</v>
      </c>
      <c r="F224" s="3"/>
      <c r="G224" s="7"/>
      <c r="H224" s="9"/>
    </row>
    <row r="225" spans="1:8" ht="15.75" customHeight="1" x14ac:dyDescent="0.2">
      <c r="A225" s="3" t="s">
        <v>7</v>
      </c>
      <c r="B225" s="3">
        <f>B223+B224</f>
        <v>36</v>
      </c>
      <c r="C225" s="1" t="s">
        <v>8</v>
      </c>
      <c r="D225" s="6" t="s">
        <v>12</v>
      </c>
      <c r="E225" s="3">
        <f>COUNTIF(F187:F222,D225)</f>
        <v>0</v>
      </c>
      <c r="F225" s="3"/>
      <c r="G225" s="7"/>
      <c r="H225" s="9"/>
    </row>
    <row r="226" spans="1:8" ht="15.75" customHeight="1" x14ac:dyDescent="0.2">
      <c r="D226" s="40" t="s">
        <v>13</v>
      </c>
      <c r="E226" s="41">
        <f>COUNTIF(G187:G222,D226)</f>
        <v>36</v>
      </c>
      <c r="F226" s="3"/>
      <c r="G226" s="7"/>
      <c r="H226" s="9"/>
    </row>
    <row r="227" spans="1:8" ht="15.75" customHeight="1" x14ac:dyDescent="0.2">
      <c r="D227" s="40" t="s">
        <v>14</v>
      </c>
      <c r="E227" s="41">
        <f>COUNTIF(G187:G222,D227)</f>
        <v>0</v>
      </c>
      <c r="F227" s="3"/>
      <c r="G227" s="7"/>
      <c r="H227" s="9"/>
    </row>
    <row r="228" spans="1:8" ht="15.75" customHeight="1" x14ac:dyDescent="0.2">
      <c r="A228" s="10" t="s">
        <v>55</v>
      </c>
      <c r="B228" s="10"/>
      <c r="C228" s="10"/>
      <c r="D228" s="19"/>
      <c r="E228" s="8"/>
      <c r="F228" s="37"/>
      <c r="G228" s="37"/>
    </row>
    <row r="229" spans="1:8" ht="15.75" customHeight="1" x14ac:dyDescent="0.2">
      <c r="A229" s="88" t="s">
        <v>0</v>
      </c>
      <c r="B229" s="89"/>
      <c r="C229" s="89"/>
      <c r="D229" s="90" t="s">
        <v>1</v>
      </c>
      <c r="E229" s="92" t="s">
        <v>9</v>
      </c>
      <c r="F229" s="86" t="s">
        <v>10</v>
      </c>
      <c r="G229" s="96" t="s">
        <v>48</v>
      </c>
    </row>
    <row r="230" spans="1:8" ht="15.75" customHeight="1" x14ac:dyDescent="0.2">
      <c r="A230" s="20" t="s">
        <v>2</v>
      </c>
      <c r="B230" s="20" t="s">
        <v>3</v>
      </c>
      <c r="C230" s="21" t="s">
        <v>4</v>
      </c>
      <c r="D230" s="91"/>
      <c r="E230" s="93"/>
      <c r="F230" s="87"/>
      <c r="G230" s="97"/>
    </row>
    <row r="231" spans="1:8" ht="15.75" customHeight="1" x14ac:dyDescent="0.25">
      <c r="A231" s="16">
        <v>1</v>
      </c>
      <c r="B231" s="28">
        <v>10281</v>
      </c>
      <c r="C231" s="29" t="s">
        <v>1445</v>
      </c>
      <c r="D231" s="30" t="s">
        <v>1446</v>
      </c>
      <c r="E231" s="31" t="s">
        <v>6</v>
      </c>
      <c r="F231" s="31" t="s">
        <v>11</v>
      </c>
      <c r="G231" s="31" t="s">
        <v>13</v>
      </c>
    </row>
    <row r="232" spans="1:8" ht="15.75" customHeight="1" x14ac:dyDescent="0.25">
      <c r="A232" s="16">
        <v>2</v>
      </c>
      <c r="B232" s="28">
        <v>10286</v>
      </c>
      <c r="C232" s="29" t="s">
        <v>1447</v>
      </c>
      <c r="D232" s="30" t="s">
        <v>1448</v>
      </c>
      <c r="E232" s="31" t="s">
        <v>6</v>
      </c>
      <c r="F232" s="31" t="s">
        <v>11</v>
      </c>
      <c r="G232" s="31" t="s">
        <v>13</v>
      </c>
    </row>
    <row r="233" spans="1:8" ht="15.75" customHeight="1" x14ac:dyDescent="0.25">
      <c r="A233" s="16">
        <v>3</v>
      </c>
      <c r="B233" s="28">
        <v>10287</v>
      </c>
      <c r="C233" s="29" t="s">
        <v>1449</v>
      </c>
      <c r="D233" s="30" t="s">
        <v>1450</v>
      </c>
      <c r="E233" s="31" t="s">
        <v>5</v>
      </c>
      <c r="F233" s="31" t="s">
        <v>11</v>
      </c>
      <c r="G233" s="31" t="s">
        <v>13</v>
      </c>
    </row>
    <row r="234" spans="1:8" ht="15.75" customHeight="1" x14ac:dyDescent="0.25">
      <c r="A234" s="16">
        <v>4</v>
      </c>
      <c r="B234" s="28">
        <v>10290</v>
      </c>
      <c r="C234" s="29" t="s">
        <v>1451</v>
      </c>
      <c r="D234" s="30" t="s">
        <v>1452</v>
      </c>
      <c r="E234" s="31" t="s">
        <v>6</v>
      </c>
      <c r="F234" s="31" t="s">
        <v>11</v>
      </c>
      <c r="G234" s="31" t="s">
        <v>13</v>
      </c>
    </row>
    <row r="235" spans="1:8" ht="15.75" customHeight="1" x14ac:dyDescent="0.25">
      <c r="A235" s="16">
        <v>5</v>
      </c>
      <c r="B235" s="28">
        <v>10299</v>
      </c>
      <c r="C235" s="29" t="s">
        <v>1453</v>
      </c>
      <c r="D235" s="30" t="s">
        <v>1454</v>
      </c>
      <c r="E235" s="31" t="s">
        <v>6</v>
      </c>
      <c r="F235" s="31" t="s">
        <v>11</v>
      </c>
      <c r="G235" s="31" t="s">
        <v>13</v>
      </c>
    </row>
    <row r="236" spans="1:8" ht="15.75" customHeight="1" x14ac:dyDescent="0.25">
      <c r="A236" s="16">
        <v>6</v>
      </c>
      <c r="B236" s="28">
        <v>10308</v>
      </c>
      <c r="C236" s="29" t="s">
        <v>1455</v>
      </c>
      <c r="D236" s="30" t="s">
        <v>1456</v>
      </c>
      <c r="E236" s="31" t="s">
        <v>5</v>
      </c>
      <c r="F236" s="31" t="s">
        <v>11</v>
      </c>
      <c r="G236" s="31" t="s">
        <v>13</v>
      </c>
    </row>
    <row r="237" spans="1:8" ht="15.75" customHeight="1" x14ac:dyDescent="0.25">
      <c r="A237" s="16">
        <v>7</v>
      </c>
      <c r="B237" s="28">
        <v>10316</v>
      </c>
      <c r="C237" s="29" t="s">
        <v>1459</v>
      </c>
      <c r="D237" s="32" t="s">
        <v>1460</v>
      </c>
      <c r="E237" s="31" t="s">
        <v>5</v>
      </c>
      <c r="F237" s="31" t="s">
        <v>11</v>
      </c>
      <c r="G237" s="31" t="s">
        <v>13</v>
      </c>
    </row>
    <row r="238" spans="1:8" ht="15.75" customHeight="1" x14ac:dyDescent="0.25">
      <c r="A238" s="16">
        <v>8</v>
      </c>
      <c r="B238" s="28">
        <v>10318</v>
      </c>
      <c r="C238" s="34" t="s">
        <v>1461</v>
      </c>
      <c r="D238" s="32" t="s">
        <v>1462</v>
      </c>
      <c r="E238" s="31" t="s">
        <v>6</v>
      </c>
      <c r="F238" s="31" t="s">
        <v>11</v>
      </c>
      <c r="G238" s="31" t="s">
        <v>13</v>
      </c>
    </row>
    <row r="239" spans="1:8" ht="15.75" customHeight="1" x14ac:dyDescent="0.25">
      <c r="A239" s="16">
        <v>9</v>
      </c>
      <c r="B239" s="28">
        <v>10319</v>
      </c>
      <c r="C239" s="29" t="s">
        <v>1463</v>
      </c>
      <c r="D239" s="30" t="s">
        <v>1464</v>
      </c>
      <c r="E239" s="31" t="s">
        <v>5</v>
      </c>
      <c r="F239" s="31" t="s">
        <v>11</v>
      </c>
      <c r="G239" s="31" t="s">
        <v>13</v>
      </c>
    </row>
    <row r="240" spans="1:8" ht="15.75" customHeight="1" x14ac:dyDescent="0.25">
      <c r="A240" s="16">
        <v>10</v>
      </c>
      <c r="B240" s="28">
        <v>10320</v>
      </c>
      <c r="C240" s="29" t="s">
        <v>1465</v>
      </c>
      <c r="D240" s="30" t="s">
        <v>1466</v>
      </c>
      <c r="E240" s="31" t="s">
        <v>6</v>
      </c>
      <c r="F240" s="31" t="s">
        <v>11</v>
      </c>
      <c r="G240" s="31" t="s">
        <v>13</v>
      </c>
    </row>
    <row r="241" spans="1:7" ht="15.75" customHeight="1" x14ac:dyDescent="0.25">
      <c r="A241" s="16">
        <v>11</v>
      </c>
      <c r="B241" s="28">
        <v>10324</v>
      </c>
      <c r="C241" s="29" t="s">
        <v>1467</v>
      </c>
      <c r="D241" s="32" t="s">
        <v>1468</v>
      </c>
      <c r="E241" s="31" t="s">
        <v>6</v>
      </c>
      <c r="F241" s="31" t="s">
        <v>11</v>
      </c>
      <c r="G241" s="31" t="s">
        <v>13</v>
      </c>
    </row>
    <row r="242" spans="1:7" ht="15.75" customHeight="1" x14ac:dyDescent="0.25">
      <c r="A242" s="16">
        <v>12</v>
      </c>
      <c r="B242" s="28">
        <v>10326</v>
      </c>
      <c r="C242" s="29" t="s">
        <v>1469</v>
      </c>
      <c r="D242" s="30" t="s">
        <v>1470</v>
      </c>
      <c r="E242" s="31" t="s">
        <v>5</v>
      </c>
      <c r="F242" s="31" t="s">
        <v>11</v>
      </c>
      <c r="G242" s="31" t="s">
        <v>13</v>
      </c>
    </row>
    <row r="243" spans="1:7" ht="15.75" customHeight="1" x14ac:dyDescent="0.25">
      <c r="A243" s="16">
        <v>13</v>
      </c>
      <c r="B243" s="28">
        <v>10338</v>
      </c>
      <c r="C243" s="29" t="s">
        <v>1471</v>
      </c>
      <c r="D243" s="30" t="s">
        <v>1472</v>
      </c>
      <c r="E243" s="31" t="s">
        <v>6</v>
      </c>
      <c r="F243" s="31" t="s">
        <v>11</v>
      </c>
      <c r="G243" s="31" t="s">
        <v>13</v>
      </c>
    </row>
    <row r="244" spans="1:7" ht="15.75" customHeight="1" x14ac:dyDescent="0.25">
      <c r="A244" s="16">
        <v>14</v>
      </c>
      <c r="B244" s="28">
        <v>10348</v>
      </c>
      <c r="C244" s="29" t="s">
        <v>1473</v>
      </c>
      <c r="D244" s="30" t="s">
        <v>1474</v>
      </c>
      <c r="E244" s="31" t="s">
        <v>6</v>
      </c>
      <c r="F244" s="31" t="s">
        <v>11</v>
      </c>
      <c r="G244" s="31" t="s">
        <v>13</v>
      </c>
    </row>
    <row r="245" spans="1:7" ht="15.75" customHeight="1" x14ac:dyDescent="0.25">
      <c r="A245" s="16">
        <v>15</v>
      </c>
      <c r="B245" s="28">
        <v>10349</v>
      </c>
      <c r="C245" s="26" t="s">
        <v>1475</v>
      </c>
      <c r="D245" s="27" t="s">
        <v>1476</v>
      </c>
      <c r="E245" s="18" t="s">
        <v>6</v>
      </c>
      <c r="F245" s="31" t="s">
        <v>11</v>
      </c>
      <c r="G245" s="31" t="s">
        <v>13</v>
      </c>
    </row>
    <row r="246" spans="1:7" ht="15.75" customHeight="1" x14ac:dyDescent="0.25">
      <c r="A246" s="16">
        <v>16</v>
      </c>
      <c r="B246" s="28">
        <v>10355</v>
      </c>
      <c r="C246" s="26" t="s">
        <v>1477</v>
      </c>
      <c r="D246" s="27" t="s">
        <v>1478</v>
      </c>
      <c r="E246" s="18" t="s">
        <v>6</v>
      </c>
      <c r="F246" s="31" t="s">
        <v>11</v>
      </c>
      <c r="G246" s="31" t="s">
        <v>13</v>
      </c>
    </row>
    <row r="247" spans="1:7" ht="15.75" customHeight="1" x14ac:dyDescent="0.25">
      <c r="A247" s="81">
        <v>17</v>
      </c>
      <c r="B247" s="82">
        <v>10357</v>
      </c>
      <c r="C247" s="83" t="s">
        <v>1612</v>
      </c>
      <c r="D247" s="84" t="s">
        <v>1613</v>
      </c>
      <c r="E247" s="80" t="s">
        <v>5</v>
      </c>
      <c r="F247" s="80" t="s">
        <v>11</v>
      </c>
      <c r="G247" s="80" t="s">
        <v>13</v>
      </c>
    </row>
    <row r="248" spans="1:7" ht="15.75" customHeight="1" x14ac:dyDescent="0.25">
      <c r="A248" s="16">
        <v>18</v>
      </c>
      <c r="B248" s="28">
        <v>10361</v>
      </c>
      <c r="C248" s="29" t="s">
        <v>1479</v>
      </c>
      <c r="D248" s="30" t="s">
        <v>1480</v>
      </c>
      <c r="E248" s="31" t="s">
        <v>6</v>
      </c>
      <c r="F248" s="31" t="s">
        <v>11</v>
      </c>
      <c r="G248" s="31" t="s">
        <v>13</v>
      </c>
    </row>
    <row r="249" spans="1:7" ht="15.75" customHeight="1" x14ac:dyDescent="0.25">
      <c r="A249" s="16">
        <v>19</v>
      </c>
      <c r="B249" s="28">
        <v>10368</v>
      </c>
      <c r="C249" s="29" t="s">
        <v>1481</v>
      </c>
      <c r="D249" s="32" t="s">
        <v>1482</v>
      </c>
      <c r="E249" s="31" t="s">
        <v>6</v>
      </c>
      <c r="F249" s="31" t="s">
        <v>11</v>
      </c>
      <c r="G249" s="31" t="s">
        <v>13</v>
      </c>
    </row>
    <row r="250" spans="1:7" ht="15.75" customHeight="1" x14ac:dyDescent="0.25">
      <c r="A250" s="16">
        <v>20</v>
      </c>
      <c r="B250" s="28">
        <v>10377</v>
      </c>
      <c r="C250" s="29" t="s">
        <v>1483</v>
      </c>
      <c r="D250" s="30" t="s">
        <v>1484</v>
      </c>
      <c r="E250" s="31" t="s">
        <v>6</v>
      </c>
      <c r="F250" s="31" t="s">
        <v>11</v>
      </c>
      <c r="G250" s="31" t="s">
        <v>13</v>
      </c>
    </row>
    <row r="251" spans="1:7" ht="15.75" customHeight="1" x14ac:dyDescent="0.25">
      <c r="A251" s="16">
        <v>21</v>
      </c>
      <c r="B251" s="28">
        <v>10403</v>
      </c>
      <c r="C251" s="26" t="s">
        <v>1485</v>
      </c>
      <c r="D251" s="27" t="s">
        <v>1486</v>
      </c>
      <c r="E251" s="18" t="s">
        <v>6</v>
      </c>
      <c r="F251" s="18" t="s">
        <v>11</v>
      </c>
      <c r="G251" s="31" t="s">
        <v>13</v>
      </c>
    </row>
    <row r="252" spans="1:7" ht="15.75" customHeight="1" x14ac:dyDescent="0.25">
      <c r="A252" s="16">
        <v>22</v>
      </c>
      <c r="B252" s="28">
        <v>10405</v>
      </c>
      <c r="C252" s="29" t="s">
        <v>1487</v>
      </c>
      <c r="D252" s="30" t="s">
        <v>1488</v>
      </c>
      <c r="E252" s="31" t="s">
        <v>6</v>
      </c>
      <c r="F252" s="31" t="s">
        <v>11</v>
      </c>
      <c r="G252" s="31" t="s">
        <v>13</v>
      </c>
    </row>
    <row r="253" spans="1:7" ht="15.75" customHeight="1" x14ac:dyDescent="0.25">
      <c r="A253" s="16">
        <v>23</v>
      </c>
      <c r="B253" s="28">
        <v>10419</v>
      </c>
      <c r="C253" s="29" t="s">
        <v>1489</v>
      </c>
      <c r="D253" s="30" t="s">
        <v>1490</v>
      </c>
      <c r="E253" s="31" t="s">
        <v>6</v>
      </c>
      <c r="F253" s="31" t="s">
        <v>11</v>
      </c>
      <c r="G253" s="31" t="s">
        <v>13</v>
      </c>
    </row>
    <row r="254" spans="1:7" ht="15.75" customHeight="1" x14ac:dyDescent="0.25">
      <c r="A254" s="16">
        <v>24</v>
      </c>
      <c r="B254" s="28">
        <v>10426</v>
      </c>
      <c r="C254" s="29" t="s">
        <v>1491</v>
      </c>
      <c r="D254" s="30" t="s">
        <v>1492</v>
      </c>
      <c r="E254" s="31" t="s">
        <v>5</v>
      </c>
      <c r="F254" s="31" t="s">
        <v>11</v>
      </c>
      <c r="G254" s="31" t="s">
        <v>13</v>
      </c>
    </row>
    <row r="255" spans="1:7" ht="15.75" customHeight="1" x14ac:dyDescent="0.25">
      <c r="A255" s="16">
        <v>25</v>
      </c>
      <c r="B255" s="28">
        <v>10432</v>
      </c>
      <c r="C255" s="29" t="s">
        <v>1493</v>
      </c>
      <c r="D255" s="30" t="s">
        <v>1494</v>
      </c>
      <c r="E255" s="31" t="s">
        <v>5</v>
      </c>
      <c r="F255" s="31" t="s">
        <v>11</v>
      </c>
      <c r="G255" s="31" t="s">
        <v>13</v>
      </c>
    </row>
    <row r="256" spans="1:7" ht="15.75" customHeight="1" x14ac:dyDescent="0.25">
      <c r="A256" s="16">
        <v>26</v>
      </c>
      <c r="B256" s="28">
        <v>10435</v>
      </c>
      <c r="C256" s="29" t="s">
        <v>1495</v>
      </c>
      <c r="D256" s="30" t="s">
        <v>1496</v>
      </c>
      <c r="E256" s="31" t="s">
        <v>5</v>
      </c>
      <c r="F256" s="31" t="s">
        <v>11</v>
      </c>
      <c r="G256" s="31" t="s">
        <v>13</v>
      </c>
    </row>
    <row r="257" spans="1:8" ht="15.75" customHeight="1" x14ac:dyDescent="0.25">
      <c r="A257" s="16">
        <v>27</v>
      </c>
      <c r="B257" s="28">
        <v>10437</v>
      </c>
      <c r="C257" s="29" t="s">
        <v>1497</v>
      </c>
      <c r="D257" s="30" t="s">
        <v>1498</v>
      </c>
      <c r="E257" s="31" t="s">
        <v>5</v>
      </c>
      <c r="F257" s="31" t="s">
        <v>11</v>
      </c>
      <c r="G257" s="31" t="s">
        <v>13</v>
      </c>
    </row>
    <row r="258" spans="1:8" ht="15.75" customHeight="1" x14ac:dyDescent="0.25">
      <c r="A258" s="16">
        <v>28</v>
      </c>
      <c r="B258" s="28">
        <v>10439</v>
      </c>
      <c r="C258" s="29" t="s">
        <v>1499</v>
      </c>
      <c r="D258" s="32" t="s">
        <v>1500</v>
      </c>
      <c r="E258" s="31" t="s">
        <v>5</v>
      </c>
      <c r="F258" s="31" t="s">
        <v>11</v>
      </c>
      <c r="G258" s="31" t="s">
        <v>13</v>
      </c>
    </row>
    <row r="259" spans="1:8" ht="15.75" customHeight="1" x14ac:dyDescent="0.25">
      <c r="A259" s="16">
        <v>29</v>
      </c>
      <c r="B259" s="28">
        <v>10471</v>
      </c>
      <c r="C259" s="29" t="s">
        <v>1501</v>
      </c>
      <c r="D259" s="30" t="s">
        <v>1502</v>
      </c>
      <c r="E259" s="31" t="s">
        <v>6</v>
      </c>
      <c r="F259" s="31" t="s">
        <v>11</v>
      </c>
      <c r="G259" s="31" t="s">
        <v>13</v>
      </c>
    </row>
    <row r="260" spans="1:8" ht="15.75" customHeight="1" x14ac:dyDescent="0.25">
      <c r="A260" s="16">
        <v>30</v>
      </c>
      <c r="B260" s="28">
        <v>10476</v>
      </c>
      <c r="C260" s="29" t="s">
        <v>1503</v>
      </c>
      <c r="D260" s="30" t="s">
        <v>1504</v>
      </c>
      <c r="E260" s="31" t="s">
        <v>5</v>
      </c>
      <c r="F260" s="31" t="s">
        <v>11</v>
      </c>
      <c r="G260" s="31" t="s">
        <v>13</v>
      </c>
    </row>
    <row r="261" spans="1:8" ht="15.75" customHeight="1" x14ac:dyDescent="0.25">
      <c r="A261" s="16">
        <v>31</v>
      </c>
      <c r="B261" s="28">
        <v>10482</v>
      </c>
      <c r="C261" s="29" t="s">
        <v>1505</v>
      </c>
      <c r="D261" s="30" t="s">
        <v>1506</v>
      </c>
      <c r="E261" s="31" t="s">
        <v>6</v>
      </c>
      <c r="F261" s="31" t="s">
        <v>11</v>
      </c>
      <c r="G261" s="31" t="s">
        <v>13</v>
      </c>
    </row>
    <row r="262" spans="1:8" ht="15.75" customHeight="1" x14ac:dyDescent="0.25">
      <c r="A262" s="16">
        <v>32</v>
      </c>
      <c r="B262" s="28">
        <v>10487</v>
      </c>
      <c r="C262" s="29" t="s">
        <v>1507</v>
      </c>
      <c r="D262" s="30" t="s">
        <v>1508</v>
      </c>
      <c r="E262" s="31" t="s">
        <v>6</v>
      </c>
      <c r="F262" s="31" t="s">
        <v>11</v>
      </c>
      <c r="G262" s="31" t="s">
        <v>13</v>
      </c>
    </row>
    <row r="263" spans="1:8" ht="15.75" customHeight="1" x14ac:dyDescent="0.25">
      <c r="A263" s="16">
        <v>33</v>
      </c>
      <c r="B263" s="28">
        <v>10500</v>
      </c>
      <c r="C263" s="29" t="s">
        <v>1509</v>
      </c>
      <c r="D263" s="30" t="s">
        <v>1510</v>
      </c>
      <c r="E263" s="31" t="s">
        <v>6</v>
      </c>
      <c r="F263" s="31" t="s">
        <v>11</v>
      </c>
      <c r="G263" s="31" t="s">
        <v>13</v>
      </c>
    </row>
    <row r="264" spans="1:8" ht="15.75" customHeight="1" x14ac:dyDescent="0.25">
      <c r="A264" s="16">
        <v>34</v>
      </c>
      <c r="B264" s="28">
        <v>10501</v>
      </c>
      <c r="C264" s="29" t="s">
        <v>1511</v>
      </c>
      <c r="D264" s="32" t="s">
        <v>1512</v>
      </c>
      <c r="E264" s="31" t="s">
        <v>6</v>
      </c>
      <c r="F264" s="31" t="s">
        <v>11</v>
      </c>
      <c r="G264" s="31" t="s">
        <v>13</v>
      </c>
    </row>
    <row r="265" spans="1:8" ht="15.75" customHeight="1" x14ac:dyDescent="0.25">
      <c r="A265" s="16">
        <v>35</v>
      </c>
      <c r="B265" s="28">
        <v>10506</v>
      </c>
      <c r="C265" s="29" t="s">
        <v>1513</v>
      </c>
      <c r="D265" s="30" t="s">
        <v>1514</v>
      </c>
      <c r="E265" s="31" t="s">
        <v>6</v>
      </c>
      <c r="F265" s="31" t="s">
        <v>11</v>
      </c>
      <c r="G265" s="31" t="s">
        <v>13</v>
      </c>
    </row>
    <row r="266" spans="1:8" ht="15.75" customHeight="1" x14ac:dyDescent="0.25">
      <c r="A266" s="16">
        <v>36</v>
      </c>
      <c r="B266" s="33">
        <v>10509</v>
      </c>
      <c r="C266" s="34" t="s">
        <v>1515</v>
      </c>
      <c r="D266" s="35" t="s">
        <v>1516</v>
      </c>
      <c r="E266" s="36" t="s">
        <v>6</v>
      </c>
      <c r="F266" s="36" t="s">
        <v>11</v>
      </c>
      <c r="G266" s="31" t="s">
        <v>13</v>
      </c>
    </row>
    <row r="267" spans="1:8" ht="15.75" customHeight="1" x14ac:dyDescent="0.2">
      <c r="A267" s="3" t="s">
        <v>5</v>
      </c>
      <c r="B267" s="3">
        <f>COUNTIF(E231:E266,A267)</f>
        <v>12</v>
      </c>
      <c r="C267" s="1" t="s">
        <v>8</v>
      </c>
      <c r="D267" s="6" t="s">
        <v>11</v>
      </c>
      <c r="E267" s="3">
        <f>COUNTIF(F231:F266,D267)</f>
        <v>36</v>
      </c>
      <c r="F267" s="3"/>
      <c r="G267" s="7"/>
      <c r="H267" s="9"/>
    </row>
    <row r="268" spans="1:8" ht="15.75" customHeight="1" x14ac:dyDescent="0.2">
      <c r="A268" s="3" t="s">
        <v>6</v>
      </c>
      <c r="B268" s="5">
        <f>COUNTIF(E231:E266,A268)</f>
        <v>24</v>
      </c>
      <c r="C268" s="1" t="s">
        <v>8</v>
      </c>
      <c r="D268" s="6" t="s">
        <v>49</v>
      </c>
      <c r="E268" s="3">
        <f>COUNTIF(F231:F266,D268)</f>
        <v>0</v>
      </c>
      <c r="F268" s="3"/>
      <c r="G268" s="7"/>
      <c r="H268" s="9"/>
    </row>
    <row r="269" spans="1:8" ht="15.75" customHeight="1" x14ac:dyDescent="0.2">
      <c r="A269" s="3" t="s">
        <v>7</v>
      </c>
      <c r="B269" s="3">
        <f>B267+B268</f>
        <v>36</v>
      </c>
      <c r="C269" s="1" t="s">
        <v>8</v>
      </c>
      <c r="D269" s="6" t="s">
        <v>12</v>
      </c>
      <c r="E269" s="3">
        <f>COUNTIF(F231:F266,D269)</f>
        <v>0</v>
      </c>
      <c r="F269" s="3"/>
      <c r="G269" s="7"/>
      <c r="H269" s="9"/>
    </row>
    <row r="270" spans="1:8" ht="15.75" customHeight="1" x14ac:dyDescent="0.2">
      <c r="D270" s="40" t="s">
        <v>13</v>
      </c>
      <c r="E270" s="41">
        <f>COUNTIF(G231:G266,D270)</f>
        <v>36</v>
      </c>
      <c r="F270" s="3"/>
      <c r="G270" s="7"/>
      <c r="H270" s="9"/>
    </row>
    <row r="271" spans="1:8" ht="15.75" customHeight="1" x14ac:dyDescent="0.2">
      <c r="D271" s="40" t="s">
        <v>14</v>
      </c>
      <c r="E271" s="41">
        <f>COUNTIF(G231:G266,D271)</f>
        <v>0</v>
      </c>
      <c r="F271" s="3"/>
      <c r="G271" s="7"/>
      <c r="H271" s="9"/>
    </row>
    <row r="272" spans="1:8" ht="15.75" customHeight="1" x14ac:dyDescent="0.2">
      <c r="A272" s="10" t="s">
        <v>56</v>
      </c>
      <c r="B272" s="10"/>
      <c r="C272" s="10"/>
      <c r="D272" s="19"/>
      <c r="E272" s="8"/>
      <c r="F272" s="8"/>
      <c r="G272" s="7"/>
    </row>
    <row r="273" spans="1:7" ht="15.75" customHeight="1" x14ac:dyDescent="0.2">
      <c r="A273" s="88" t="s">
        <v>0</v>
      </c>
      <c r="B273" s="89"/>
      <c r="C273" s="89"/>
      <c r="D273" s="90" t="s">
        <v>1</v>
      </c>
      <c r="E273" s="92" t="s">
        <v>9</v>
      </c>
      <c r="F273" s="86" t="s">
        <v>10</v>
      </c>
      <c r="G273" s="96" t="s">
        <v>48</v>
      </c>
    </row>
    <row r="274" spans="1:7" ht="15.75" customHeight="1" x14ac:dyDescent="0.2">
      <c r="A274" s="20" t="s">
        <v>2</v>
      </c>
      <c r="B274" s="20" t="s">
        <v>3</v>
      </c>
      <c r="C274" s="21" t="s">
        <v>4</v>
      </c>
      <c r="D274" s="91"/>
      <c r="E274" s="93"/>
      <c r="F274" s="87"/>
      <c r="G274" s="97"/>
    </row>
    <row r="275" spans="1:7" ht="15.75" customHeight="1" x14ac:dyDescent="0.25">
      <c r="A275" s="16">
        <v>1</v>
      </c>
      <c r="B275" s="28">
        <v>10270</v>
      </c>
      <c r="C275" s="29" t="s">
        <v>1517</v>
      </c>
      <c r="D275" s="32" t="s">
        <v>1518</v>
      </c>
      <c r="E275" s="31" t="s">
        <v>5</v>
      </c>
      <c r="F275" s="31" t="s">
        <v>11</v>
      </c>
      <c r="G275" s="31" t="s">
        <v>13</v>
      </c>
    </row>
    <row r="276" spans="1:7" ht="15.75" customHeight="1" x14ac:dyDescent="0.25">
      <c r="A276" s="16">
        <v>2</v>
      </c>
      <c r="B276" s="28">
        <v>10271</v>
      </c>
      <c r="C276" s="29" t="s">
        <v>1519</v>
      </c>
      <c r="D276" s="32" t="s">
        <v>1520</v>
      </c>
      <c r="E276" s="31" t="s">
        <v>5</v>
      </c>
      <c r="F276" s="31" t="s">
        <v>11</v>
      </c>
      <c r="G276" s="31" t="s">
        <v>13</v>
      </c>
    </row>
    <row r="277" spans="1:7" ht="15.75" customHeight="1" x14ac:dyDescent="0.25">
      <c r="A277" s="16">
        <v>3</v>
      </c>
      <c r="B277" s="28">
        <v>10274</v>
      </c>
      <c r="C277" s="29" t="s">
        <v>1521</v>
      </c>
      <c r="D277" s="32" t="s">
        <v>1522</v>
      </c>
      <c r="E277" s="31" t="s">
        <v>6</v>
      </c>
      <c r="F277" s="31" t="s">
        <v>11</v>
      </c>
      <c r="G277" s="31" t="s">
        <v>13</v>
      </c>
    </row>
    <row r="278" spans="1:7" ht="15.75" customHeight="1" x14ac:dyDescent="0.25">
      <c r="A278" s="16">
        <v>4</v>
      </c>
      <c r="B278" s="28">
        <v>10280</v>
      </c>
      <c r="C278" s="29" t="s">
        <v>1523</v>
      </c>
      <c r="D278" s="30" t="s">
        <v>1524</v>
      </c>
      <c r="E278" s="31" t="s">
        <v>5</v>
      </c>
      <c r="F278" s="31" t="s">
        <v>11</v>
      </c>
      <c r="G278" s="31" t="s">
        <v>13</v>
      </c>
    </row>
    <row r="279" spans="1:7" ht="15.75" customHeight="1" x14ac:dyDescent="0.25">
      <c r="A279" s="16">
        <v>5</v>
      </c>
      <c r="B279" s="28">
        <v>10307</v>
      </c>
      <c r="C279" s="29" t="s">
        <v>1525</v>
      </c>
      <c r="D279" s="30" t="s">
        <v>1526</v>
      </c>
      <c r="E279" s="31" t="s">
        <v>6</v>
      </c>
      <c r="F279" s="31" t="s">
        <v>11</v>
      </c>
      <c r="G279" s="31" t="s">
        <v>13</v>
      </c>
    </row>
    <row r="280" spans="1:7" ht="15.75" customHeight="1" x14ac:dyDescent="0.25">
      <c r="A280" s="16">
        <v>6</v>
      </c>
      <c r="B280" s="28">
        <v>10315</v>
      </c>
      <c r="C280" s="29" t="s">
        <v>1527</v>
      </c>
      <c r="D280" s="30" t="s">
        <v>1528</v>
      </c>
      <c r="E280" s="31" t="s">
        <v>6</v>
      </c>
      <c r="F280" s="31" t="s">
        <v>11</v>
      </c>
      <c r="G280" s="31" t="s">
        <v>13</v>
      </c>
    </row>
    <row r="281" spans="1:7" ht="15.75" customHeight="1" x14ac:dyDescent="0.25">
      <c r="A281" s="16">
        <v>7</v>
      </c>
      <c r="B281" s="28">
        <v>10334</v>
      </c>
      <c r="C281" s="29" t="s">
        <v>1529</v>
      </c>
      <c r="D281" s="30" t="s">
        <v>1530</v>
      </c>
      <c r="E281" s="31" t="s">
        <v>6</v>
      </c>
      <c r="F281" s="31" t="s">
        <v>11</v>
      </c>
      <c r="G281" s="31" t="s">
        <v>13</v>
      </c>
    </row>
    <row r="282" spans="1:7" ht="15.75" customHeight="1" x14ac:dyDescent="0.25">
      <c r="A282" s="16">
        <v>8</v>
      </c>
      <c r="B282" s="28">
        <v>10339</v>
      </c>
      <c r="C282" s="29" t="s">
        <v>1531</v>
      </c>
      <c r="D282" s="30" t="s">
        <v>1532</v>
      </c>
      <c r="E282" s="31" t="s">
        <v>5</v>
      </c>
      <c r="F282" s="31" t="s">
        <v>11</v>
      </c>
      <c r="G282" s="31" t="s">
        <v>13</v>
      </c>
    </row>
    <row r="283" spans="1:7" ht="15.75" customHeight="1" x14ac:dyDescent="0.25">
      <c r="A283" s="16">
        <v>9</v>
      </c>
      <c r="B283" s="28">
        <v>10341</v>
      </c>
      <c r="C283" s="29" t="s">
        <v>1533</v>
      </c>
      <c r="D283" s="30" t="s">
        <v>1534</v>
      </c>
      <c r="E283" s="31" t="s">
        <v>6</v>
      </c>
      <c r="F283" s="31" t="s">
        <v>11</v>
      </c>
      <c r="G283" s="31" t="s">
        <v>13</v>
      </c>
    </row>
    <row r="284" spans="1:7" ht="15.75" customHeight="1" x14ac:dyDescent="0.25">
      <c r="A284" s="16">
        <v>10</v>
      </c>
      <c r="B284" s="28">
        <v>10343</v>
      </c>
      <c r="C284" s="29" t="s">
        <v>1535</v>
      </c>
      <c r="D284" s="30" t="s">
        <v>1536</v>
      </c>
      <c r="E284" s="31" t="s">
        <v>6</v>
      </c>
      <c r="F284" s="31" t="s">
        <v>11</v>
      </c>
      <c r="G284" s="31" t="s">
        <v>13</v>
      </c>
    </row>
    <row r="285" spans="1:7" ht="15.75" customHeight="1" x14ac:dyDescent="0.25">
      <c r="A285" s="16">
        <v>11</v>
      </c>
      <c r="B285" s="28">
        <v>10351</v>
      </c>
      <c r="C285" s="29" t="s">
        <v>1537</v>
      </c>
      <c r="D285" s="30" t="s">
        <v>1538</v>
      </c>
      <c r="E285" s="31" t="s">
        <v>6</v>
      </c>
      <c r="F285" s="31" t="s">
        <v>11</v>
      </c>
      <c r="G285" s="31" t="s">
        <v>13</v>
      </c>
    </row>
    <row r="286" spans="1:7" ht="15.75" customHeight="1" x14ac:dyDescent="0.25">
      <c r="A286" s="16">
        <v>12</v>
      </c>
      <c r="B286" s="28">
        <v>10354</v>
      </c>
      <c r="C286" s="29" t="s">
        <v>1539</v>
      </c>
      <c r="D286" s="30" t="s">
        <v>1540</v>
      </c>
      <c r="E286" s="31" t="s">
        <v>5</v>
      </c>
      <c r="F286" s="31" t="s">
        <v>11</v>
      </c>
      <c r="G286" s="31" t="s">
        <v>13</v>
      </c>
    </row>
    <row r="287" spans="1:7" ht="15.75" customHeight="1" x14ac:dyDescent="0.25">
      <c r="A287" s="16">
        <v>13</v>
      </c>
      <c r="B287" s="28">
        <v>10358</v>
      </c>
      <c r="C287" s="29" t="s">
        <v>1541</v>
      </c>
      <c r="D287" s="30" t="s">
        <v>1542</v>
      </c>
      <c r="E287" s="31" t="s">
        <v>6</v>
      </c>
      <c r="F287" s="31" t="s">
        <v>11</v>
      </c>
      <c r="G287" s="31" t="s">
        <v>13</v>
      </c>
    </row>
    <row r="288" spans="1:7" ht="15.75" customHeight="1" x14ac:dyDescent="0.25">
      <c r="A288" s="16">
        <v>14</v>
      </c>
      <c r="B288" s="28">
        <v>10365</v>
      </c>
      <c r="C288" s="29" t="s">
        <v>1543</v>
      </c>
      <c r="D288" s="30" t="s">
        <v>1544</v>
      </c>
      <c r="E288" s="31" t="s">
        <v>6</v>
      </c>
      <c r="F288" s="31" t="s">
        <v>11</v>
      </c>
      <c r="G288" s="31" t="s">
        <v>13</v>
      </c>
    </row>
    <row r="289" spans="1:7" ht="15.75" customHeight="1" x14ac:dyDescent="0.25">
      <c r="A289" s="16">
        <v>15</v>
      </c>
      <c r="B289" s="28">
        <v>10372</v>
      </c>
      <c r="C289" s="29" t="s">
        <v>1545</v>
      </c>
      <c r="D289" s="30" t="s">
        <v>1546</v>
      </c>
      <c r="E289" s="31" t="s">
        <v>5</v>
      </c>
      <c r="F289" s="31" t="s">
        <v>11</v>
      </c>
      <c r="G289" s="31" t="s">
        <v>13</v>
      </c>
    </row>
    <row r="290" spans="1:7" ht="15.75" customHeight="1" x14ac:dyDescent="0.25">
      <c r="A290" s="16">
        <v>16</v>
      </c>
      <c r="B290" s="28">
        <v>10380</v>
      </c>
      <c r="C290" s="29" t="s">
        <v>1547</v>
      </c>
      <c r="D290" s="30" t="s">
        <v>1548</v>
      </c>
      <c r="E290" s="31" t="s">
        <v>5</v>
      </c>
      <c r="F290" s="31" t="s">
        <v>11</v>
      </c>
      <c r="G290" s="31" t="s">
        <v>13</v>
      </c>
    </row>
    <row r="291" spans="1:7" ht="15.75" customHeight="1" x14ac:dyDescent="0.25">
      <c r="A291" s="16">
        <v>17</v>
      </c>
      <c r="B291" s="28">
        <v>10385</v>
      </c>
      <c r="C291" s="29" t="s">
        <v>1549</v>
      </c>
      <c r="D291" s="32" t="s">
        <v>1550</v>
      </c>
      <c r="E291" s="31" t="s">
        <v>5</v>
      </c>
      <c r="F291" s="31" t="s">
        <v>11</v>
      </c>
      <c r="G291" s="31" t="s">
        <v>13</v>
      </c>
    </row>
    <row r="292" spans="1:7" ht="15.75" customHeight="1" x14ac:dyDescent="0.25">
      <c r="A292" s="16">
        <v>18</v>
      </c>
      <c r="B292" s="28">
        <v>10389</v>
      </c>
      <c r="C292" s="29" t="s">
        <v>1551</v>
      </c>
      <c r="D292" s="30" t="s">
        <v>1552</v>
      </c>
      <c r="E292" s="31" t="s">
        <v>5</v>
      </c>
      <c r="F292" s="31" t="s">
        <v>11</v>
      </c>
      <c r="G292" s="31" t="s">
        <v>13</v>
      </c>
    </row>
    <row r="293" spans="1:7" ht="15.75" customHeight="1" x14ac:dyDescent="0.25">
      <c r="A293" s="16">
        <v>19</v>
      </c>
      <c r="B293" s="28">
        <v>10411</v>
      </c>
      <c r="C293" s="26" t="s">
        <v>1553</v>
      </c>
      <c r="D293" s="27" t="s">
        <v>1554</v>
      </c>
      <c r="E293" s="18" t="s">
        <v>5</v>
      </c>
      <c r="F293" s="31" t="s">
        <v>11</v>
      </c>
      <c r="G293" s="31" t="s">
        <v>13</v>
      </c>
    </row>
    <row r="294" spans="1:7" ht="15.75" customHeight="1" x14ac:dyDescent="0.25">
      <c r="A294" s="16">
        <v>20</v>
      </c>
      <c r="B294" s="28">
        <v>10416</v>
      </c>
      <c r="C294" s="29" t="s">
        <v>1555</v>
      </c>
      <c r="D294" s="30" t="s">
        <v>1556</v>
      </c>
      <c r="E294" s="31" t="s">
        <v>6</v>
      </c>
      <c r="F294" s="31" t="s">
        <v>11</v>
      </c>
      <c r="G294" s="31" t="s">
        <v>13</v>
      </c>
    </row>
    <row r="295" spans="1:7" ht="15.75" customHeight="1" x14ac:dyDescent="0.25">
      <c r="A295" s="16">
        <v>21</v>
      </c>
      <c r="B295" s="28">
        <v>10423</v>
      </c>
      <c r="C295" s="29" t="s">
        <v>1557</v>
      </c>
      <c r="D295" s="30" t="s">
        <v>1558</v>
      </c>
      <c r="E295" s="31" t="s">
        <v>6</v>
      </c>
      <c r="F295" s="31" t="s">
        <v>11</v>
      </c>
      <c r="G295" s="31" t="s">
        <v>13</v>
      </c>
    </row>
    <row r="296" spans="1:7" ht="15.75" customHeight="1" x14ac:dyDescent="0.25">
      <c r="A296" s="16">
        <v>22</v>
      </c>
      <c r="B296" s="28">
        <v>10424</v>
      </c>
      <c r="C296" s="29" t="s">
        <v>1559</v>
      </c>
      <c r="D296" s="30" t="s">
        <v>1560</v>
      </c>
      <c r="E296" s="31" t="s">
        <v>6</v>
      </c>
      <c r="F296" s="31" t="s">
        <v>11</v>
      </c>
      <c r="G296" s="31" t="s">
        <v>13</v>
      </c>
    </row>
    <row r="297" spans="1:7" ht="15.75" customHeight="1" x14ac:dyDescent="0.25">
      <c r="A297" s="16">
        <v>23</v>
      </c>
      <c r="B297" s="28">
        <v>10449</v>
      </c>
      <c r="C297" s="29" t="s">
        <v>1561</v>
      </c>
      <c r="D297" s="32" t="s">
        <v>1562</v>
      </c>
      <c r="E297" s="31" t="s">
        <v>5</v>
      </c>
      <c r="F297" s="31" t="s">
        <v>11</v>
      </c>
      <c r="G297" s="31" t="s">
        <v>13</v>
      </c>
    </row>
    <row r="298" spans="1:7" ht="15.75" customHeight="1" x14ac:dyDescent="0.25">
      <c r="A298" s="16">
        <v>24</v>
      </c>
      <c r="B298" s="28">
        <v>10453</v>
      </c>
      <c r="C298" s="29" t="s">
        <v>1563</v>
      </c>
      <c r="D298" s="30" t="s">
        <v>1564</v>
      </c>
      <c r="E298" s="31" t="s">
        <v>6</v>
      </c>
      <c r="F298" s="31" t="s">
        <v>11</v>
      </c>
      <c r="G298" s="31" t="s">
        <v>13</v>
      </c>
    </row>
    <row r="299" spans="1:7" ht="15.75" customHeight="1" x14ac:dyDescent="0.25">
      <c r="A299" s="16">
        <v>25</v>
      </c>
      <c r="B299" s="28">
        <v>10459</v>
      </c>
      <c r="C299" s="29" t="s">
        <v>1565</v>
      </c>
      <c r="D299" s="30" t="s">
        <v>1566</v>
      </c>
      <c r="E299" s="31" t="s">
        <v>6</v>
      </c>
      <c r="F299" s="31" t="s">
        <v>11</v>
      </c>
      <c r="G299" s="31" t="s">
        <v>13</v>
      </c>
    </row>
    <row r="300" spans="1:7" ht="15.75" customHeight="1" x14ac:dyDescent="0.25">
      <c r="A300" s="16">
        <v>26</v>
      </c>
      <c r="B300" s="28">
        <v>10463</v>
      </c>
      <c r="C300" s="29" t="s">
        <v>1567</v>
      </c>
      <c r="D300" s="30" t="s">
        <v>1568</v>
      </c>
      <c r="E300" s="31" t="s">
        <v>6</v>
      </c>
      <c r="F300" s="31" t="s">
        <v>11</v>
      </c>
      <c r="G300" s="31" t="s">
        <v>13</v>
      </c>
    </row>
    <row r="301" spans="1:7" ht="15.75" customHeight="1" x14ac:dyDescent="0.25">
      <c r="A301" s="16">
        <v>27</v>
      </c>
      <c r="B301" s="28">
        <v>10468</v>
      </c>
      <c r="C301" s="29" t="s">
        <v>1569</v>
      </c>
      <c r="D301" s="30" t="s">
        <v>1570</v>
      </c>
      <c r="E301" s="31" t="s">
        <v>6</v>
      </c>
      <c r="F301" s="31" t="s">
        <v>11</v>
      </c>
      <c r="G301" s="31" t="s">
        <v>13</v>
      </c>
    </row>
    <row r="302" spans="1:7" ht="15.75" customHeight="1" x14ac:dyDescent="0.25">
      <c r="A302" s="16">
        <v>28</v>
      </c>
      <c r="B302" s="28">
        <v>10472</v>
      </c>
      <c r="C302" s="29" t="s">
        <v>1571</v>
      </c>
      <c r="D302" s="32" t="s">
        <v>1572</v>
      </c>
      <c r="E302" s="31" t="s">
        <v>6</v>
      </c>
      <c r="F302" s="31" t="s">
        <v>11</v>
      </c>
      <c r="G302" s="31" t="s">
        <v>13</v>
      </c>
    </row>
    <row r="303" spans="1:7" ht="15.75" customHeight="1" x14ac:dyDescent="0.25">
      <c r="A303" s="16">
        <v>29</v>
      </c>
      <c r="B303" s="28">
        <v>10473</v>
      </c>
      <c r="C303" s="29" t="s">
        <v>1573</v>
      </c>
      <c r="D303" s="30" t="s">
        <v>1574</v>
      </c>
      <c r="E303" s="31" t="s">
        <v>6</v>
      </c>
      <c r="F303" s="31" t="s">
        <v>11</v>
      </c>
      <c r="G303" s="31" t="s">
        <v>13</v>
      </c>
    </row>
    <row r="304" spans="1:7" ht="15.75" customHeight="1" x14ac:dyDescent="0.25">
      <c r="A304" s="16">
        <v>30</v>
      </c>
      <c r="B304" s="28">
        <v>10480</v>
      </c>
      <c r="C304" s="29" t="s">
        <v>1575</v>
      </c>
      <c r="D304" s="30" t="s">
        <v>1576</v>
      </c>
      <c r="E304" s="31" t="s">
        <v>6</v>
      </c>
      <c r="F304" s="31" t="s">
        <v>11</v>
      </c>
      <c r="G304" s="31" t="s">
        <v>13</v>
      </c>
    </row>
    <row r="305" spans="1:8" ht="15.75" customHeight="1" x14ac:dyDescent="0.25">
      <c r="A305" s="16">
        <v>31</v>
      </c>
      <c r="B305" s="28">
        <v>10488</v>
      </c>
      <c r="C305" s="29" t="s">
        <v>1577</v>
      </c>
      <c r="D305" s="30" t="s">
        <v>1578</v>
      </c>
      <c r="E305" s="31" t="s">
        <v>5</v>
      </c>
      <c r="F305" s="31" t="s">
        <v>11</v>
      </c>
      <c r="G305" s="31" t="s">
        <v>13</v>
      </c>
    </row>
    <row r="306" spans="1:8" ht="15.75" customHeight="1" x14ac:dyDescent="0.25">
      <c r="A306" s="16">
        <v>32</v>
      </c>
      <c r="B306" s="28">
        <v>10496</v>
      </c>
      <c r="C306" s="29" t="s">
        <v>1579</v>
      </c>
      <c r="D306" s="32" t="s">
        <v>1580</v>
      </c>
      <c r="E306" s="31" t="s">
        <v>6</v>
      </c>
      <c r="F306" s="31" t="s">
        <v>11</v>
      </c>
      <c r="G306" s="31" t="s">
        <v>13</v>
      </c>
    </row>
    <row r="307" spans="1:8" ht="15.75" customHeight="1" x14ac:dyDescent="0.25">
      <c r="A307" s="16">
        <v>33</v>
      </c>
      <c r="B307" s="28">
        <v>10499</v>
      </c>
      <c r="C307" s="26" t="s">
        <v>1581</v>
      </c>
      <c r="D307" s="27" t="s">
        <v>1582</v>
      </c>
      <c r="E307" s="18" t="s">
        <v>6</v>
      </c>
      <c r="F307" s="31" t="s">
        <v>11</v>
      </c>
      <c r="G307" s="31" t="s">
        <v>13</v>
      </c>
    </row>
    <row r="308" spans="1:8" ht="15.75" customHeight="1" x14ac:dyDescent="0.25">
      <c r="A308" s="16">
        <v>34</v>
      </c>
      <c r="B308" s="28">
        <v>10505</v>
      </c>
      <c r="C308" s="29" t="s">
        <v>1583</v>
      </c>
      <c r="D308" s="32" t="s">
        <v>1584</v>
      </c>
      <c r="E308" s="31" t="s">
        <v>6</v>
      </c>
      <c r="F308" s="31" t="s">
        <v>11</v>
      </c>
      <c r="G308" s="31" t="s">
        <v>13</v>
      </c>
    </row>
    <row r="309" spans="1:8" ht="15.75" customHeight="1" x14ac:dyDescent="0.25">
      <c r="A309" s="16">
        <v>35</v>
      </c>
      <c r="B309" s="28">
        <v>10513</v>
      </c>
      <c r="C309" s="29" t="s">
        <v>1585</v>
      </c>
      <c r="D309" s="30" t="s">
        <v>1586</v>
      </c>
      <c r="E309" s="31" t="s">
        <v>6</v>
      </c>
      <c r="F309" s="31" t="s">
        <v>11</v>
      </c>
      <c r="G309" s="31" t="s">
        <v>13</v>
      </c>
    </row>
    <row r="310" spans="1:8" ht="15.75" customHeight="1" x14ac:dyDescent="0.25">
      <c r="A310" s="16">
        <v>36</v>
      </c>
      <c r="B310" s="28">
        <v>10521</v>
      </c>
      <c r="C310" s="29" t="s">
        <v>1587</v>
      </c>
      <c r="D310" s="30" t="s">
        <v>1588</v>
      </c>
      <c r="E310" s="31" t="s">
        <v>6</v>
      </c>
      <c r="F310" s="31" t="s">
        <v>11</v>
      </c>
      <c r="G310" s="31" t="s">
        <v>13</v>
      </c>
    </row>
    <row r="311" spans="1:8" ht="15.75" customHeight="1" x14ac:dyDescent="0.2">
      <c r="A311" s="3" t="s">
        <v>5</v>
      </c>
      <c r="B311" s="3">
        <f>COUNTIF(E275:E310,A311)</f>
        <v>12</v>
      </c>
      <c r="C311" s="1" t="s">
        <v>8</v>
      </c>
      <c r="D311" s="6" t="s">
        <v>11</v>
      </c>
      <c r="E311" s="3">
        <f>COUNTIF(F275:F310,D311)</f>
        <v>36</v>
      </c>
      <c r="F311" s="3"/>
      <c r="G311" s="7"/>
      <c r="H311" s="9"/>
    </row>
    <row r="312" spans="1:8" ht="15.75" customHeight="1" x14ac:dyDescent="0.2">
      <c r="A312" s="3" t="s">
        <v>6</v>
      </c>
      <c r="B312" s="5">
        <f>COUNTIF(E275:E310,A312)</f>
        <v>24</v>
      </c>
      <c r="C312" s="1" t="s">
        <v>8</v>
      </c>
      <c r="D312" s="6" t="s">
        <v>49</v>
      </c>
      <c r="E312" s="3">
        <f>COUNTIF(F275:F310,D312)</f>
        <v>0</v>
      </c>
      <c r="F312" s="3"/>
      <c r="G312" s="7"/>
      <c r="H312" s="9"/>
    </row>
    <row r="313" spans="1:8" ht="15.75" customHeight="1" x14ac:dyDescent="0.2">
      <c r="A313" s="3" t="s">
        <v>7</v>
      </c>
      <c r="B313" s="3">
        <f>B311+B312</f>
        <v>36</v>
      </c>
      <c r="C313" s="1" t="s">
        <v>8</v>
      </c>
      <c r="D313" s="6" t="s">
        <v>12</v>
      </c>
      <c r="E313" s="3">
        <f>COUNTIF(F275:F310,D313)</f>
        <v>0</v>
      </c>
      <c r="F313" s="3"/>
      <c r="G313" s="7"/>
      <c r="H313" s="9"/>
    </row>
    <row r="314" spans="1:8" ht="15.75" customHeight="1" x14ac:dyDescent="0.2">
      <c r="D314" s="40" t="s">
        <v>13</v>
      </c>
      <c r="E314" s="41">
        <f>COUNTIF(G275:G310,D314)</f>
        <v>36</v>
      </c>
      <c r="F314" s="3"/>
      <c r="G314" s="7"/>
      <c r="H314" s="9"/>
    </row>
    <row r="315" spans="1:8" ht="15.75" customHeight="1" x14ac:dyDescent="0.2">
      <c r="D315" s="40" t="s">
        <v>14</v>
      </c>
      <c r="E315" s="41">
        <f>COUNTIF(G275:G310,D315)</f>
        <v>0</v>
      </c>
      <c r="F315" s="3"/>
      <c r="G315" s="7"/>
      <c r="H315" s="9"/>
    </row>
    <row r="316" spans="1:8" x14ac:dyDescent="0.2">
      <c r="A316" s="9"/>
      <c r="B316" s="9"/>
      <c r="C316" s="9"/>
      <c r="D316" s="9"/>
      <c r="E316" s="9"/>
      <c r="F316" s="9"/>
      <c r="G316" s="9"/>
    </row>
    <row r="317" spans="1:8" x14ac:dyDescent="0.2">
      <c r="A317" s="9"/>
      <c r="B317" s="9"/>
      <c r="C317" s="9"/>
      <c r="D317" s="9"/>
      <c r="E317" s="9"/>
      <c r="F317" s="9"/>
      <c r="G317" s="9"/>
    </row>
    <row r="318" spans="1:8" hidden="1" x14ac:dyDescent="0.2"/>
    <row r="319" spans="1:8" hidden="1" x14ac:dyDescent="0.2"/>
    <row r="320" spans="1:8" hidden="1" x14ac:dyDescent="0.2"/>
    <row r="321" hidden="1" x14ac:dyDescent="0.2"/>
    <row r="322" hidden="1" x14ac:dyDescent="0.2"/>
    <row r="323" hidden="1" x14ac:dyDescent="0.2"/>
    <row r="324" hidden="1" x14ac:dyDescent="0.2"/>
    <row r="325" hidden="1" x14ac:dyDescent="0.2"/>
    <row r="326" hidden="1" x14ac:dyDescent="0.2"/>
    <row r="327" hidden="1" x14ac:dyDescent="0.2"/>
    <row r="328" hidden="1" x14ac:dyDescent="0.2"/>
    <row r="329" hidden="1" x14ac:dyDescent="0.2"/>
    <row r="330" hidden="1" x14ac:dyDescent="0.2"/>
    <row r="331" hidden="1" x14ac:dyDescent="0.2"/>
    <row r="332" hidden="1" x14ac:dyDescent="0.2"/>
    <row r="333" hidden="1" x14ac:dyDescent="0.2"/>
    <row r="334" hidden="1" x14ac:dyDescent="0.2"/>
    <row r="335" hidden="1" x14ac:dyDescent="0.2"/>
    <row r="336" hidden="1" x14ac:dyDescent="0.2"/>
    <row r="337" hidden="1" x14ac:dyDescent="0.2"/>
    <row r="338" hidden="1" x14ac:dyDescent="0.2"/>
    <row r="339" hidden="1" x14ac:dyDescent="0.2"/>
    <row r="340" hidden="1" x14ac:dyDescent="0.2"/>
    <row r="341" hidden="1" x14ac:dyDescent="0.2"/>
    <row r="342" hidden="1" x14ac:dyDescent="0.2"/>
    <row r="343" hidden="1" x14ac:dyDescent="0.2"/>
    <row r="344" hidden="1" x14ac:dyDescent="0.2"/>
    <row r="345" hidden="1" x14ac:dyDescent="0.2"/>
    <row r="346" hidden="1" x14ac:dyDescent="0.2"/>
    <row r="347" hidden="1" x14ac:dyDescent="0.2"/>
    <row r="348" hidden="1" x14ac:dyDescent="0.2"/>
    <row r="349" hidden="1" x14ac:dyDescent="0.2"/>
    <row r="350" hidden="1" x14ac:dyDescent="0.2"/>
    <row r="351" hidden="1" x14ac:dyDescent="0.2"/>
    <row r="352" hidden="1" x14ac:dyDescent="0.2"/>
    <row r="353" hidden="1" x14ac:dyDescent="0.2"/>
    <row r="354" hidden="1" x14ac:dyDescent="0.2"/>
    <row r="355" hidden="1" x14ac:dyDescent="0.2"/>
    <row r="356" hidden="1" x14ac:dyDescent="0.2"/>
    <row r="357" hidden="1" x14ac:dyDescent="0.2"/>
    <row r="358" hidden="1" x14ac:dyDescent="0.2"/>
    <row r="359" hidden="1" x14ac:dyDescent="0.2"/>
    <row r="360" x14ac:dyDescent="0.2"/>
  </sheetData>
  <sortState xmlns:xlrd2="http://schemas.microsoft.com/office/spreadsheetml/2017/richdata2" ref="B231:G266">
    <sortCondition ref="D231:D266"/>
  </sortState>
  <mergeCells count="40">
    <mergeCell ref="A229:C229"/>
    <mergeCell ref="D229:D230"/>
    <mergeCell ref="E229:E230"/>
    <mergeCell ref="F229:F230"/>
    <mergeCell ref="G229:G230"/>
    <mergeCell ref="A273:C273"/>
    <mergeCell ref="D273:D274"/>
    <mergeCell ref="E273:E274"/>
    <mergeCell ref="F273:F274"/>
    <mergeCell ref="G273:G274"/>
    <mergeCell ref="A141:C141"/>
    <mergeCell ref="D141:D142"/>
    <mergeCell ref="E141:E142"/>
    <mergeCell ref="F141:F142"/>
    <mergeCell ref="G141:G142"/>
    <mergeCell ref="A185:C185"/>
    <mergeCell ref="D185:D186"/>
    <mergeCell ref="E185:E186"/>
    <mergeCell ref="F185:F186"/>
    <mergeCell ref="G185:G186"/>
    <mergeCell ref="A53:C53"/>
    <mergeCell ref="D53:D54"/>
    <mergeCell ref="E53:E54"/>
    <mergeCell ref="F53:F54"/>
    <mergeCell ref="G53:G54"/>
    <mergeCell ref="A97:C97"/>
    <mergeCell ref="D97:D98"/>
    <mergeCell ref="E97:E98"/>
    <mergeCell ref="F97:F98"/>
    <mergeCell ref="G97:G98"/>
    <mergeCell ref="A1:E1"/>
    <mergeCell ref="A2:E2"/>
    <mergeCell ref="A3:E3"/>
    <mergeCell ref="A4:E4"/>
    <mergeCell ref="A7:G7"/>
    <mergeCell ref="A9:C9"/>
    <mergeCell ref="D9:D10"/>
    <mergeCell ref="E9:E10"/>
    <mergeCell ref="F9:F10"/>
    <mergeCell ref="G9:G10"/>
  </mergeCells>
  <pageMargins left="0.70866141732283472" right="0.43307086614173229" top="0.39370078740157483" bottom="0.39370078740157483" header="0.31496062992125984" footer="0.31496062992125984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BD9E-A287-4C35-80A0-39C885F5223A}">
  <dimension ref="A1:R360"/>
  <sheetViews>
    <sheetView zoomScaleNormal="100" workbookViewId="0">
      <pane xSplit="3" ySplit="7" topLeftCell="D134" activePane="bottomRight" state="frozen"/>
      <selection pane="topRight" activeCell="D1" sqref="D1"/>
      <selection pane="bottomLeft" activeCell="A8" sqref="A8"/>
      <selection pane="bottomRight" activeCell="IW165" sqref="IW165"/>
    </sheetView>
  </sheetViews>
  <sheetFormatPr defaultRowHeight="12.75" zeroHeight="1" x14ac:dyDescent="0.2"/>
  <cols>
    <col min="1" max="1" width="4.140625" customWidth="1"/>
    <col min="2" max="2" width="7.5703125" customWidth="1"/>
    <col min="3" max="3" width="13.7109375" customWidth="1"/>
    <col min="4" max="4" width="41.140625" customWidth="1"/>
    <col min="5" max="5" width="4.7109375" customWidth="1"/>
    <col min="6" max="6" width="5.85546875" customWidth="1"/>
    <col min="7" max="7" width="9.28515625" customWidth="1"/>
    <col min="8" max="9" width="5.28515625" customWidth="1"/>
    <col min="10" max="12" width="0" hidden="1" customWidth="1"/>
    <col min="13" max="13" width="11.5703125" hidden="1" customWidth="1"/>
    <col min="14" max="14" width="24.7109375" hidden="1" customWidth="1"/>
    <col min="15" max="256" width="0" hidden="1" customWidth="1"/>
  </cols>
  <sheetData>
    <row r="1" spans="1:18" ht="15" x14ac:dyDescent="0.25">
      <c r="A1" s="94"/>
      <c r="B1" s="94"/>
      <c r="C1" s="94"/>
      <c r="D1" s="94"/>
      <c r="E1" s="94"/>
      <c r="F1" s="4"/>
      <c r="G1" s="2"/>
    </row>
    <row r="2" spans="1:18" ht="15" x14ac:dyDescent="0.25">
      <c r="A2" s="94"/>
      <c r="B2" s="94"/>
      <c r="C2" s="94"/>
      <c r="D2" s="94"/>
      <c r="E2" s="94"/>
      <c r="F2" s="4"/>
      <c r="G2" s="2"/>
    </row>
    <row r="3" spans="1:18" ht="15" x14ac:dyDescent="0.25">
      <c r="A3" s="94"/>
      <c r="B3" s="94"/>
      <c r="C3" s="94"/>
      <c r="D3" s="94"/>
      <c r="E3" s="94"/>
      <c r="F3" s="4"/>
      <c r="G3" s="2"/>
    </row>
    <row r="4" spans="1:18" ht="15" x14ac:dyDescent="0.25">
      <c r="A4" s="94"/>
      <c r="B4" s="94"/>
      <c r="C4" s="94"/>
      <c r="D4" s="94"/>
      <c r="E4" s="94"/>
      <c r="F4" s="4"/>
      <c r="G4" s="2"/>
    </row>
    <row r="5" spans="1:18" ht="15" x14ac:dyDescent="0.25">
      <c r="A5" s="4"/>
      <c r="B5" s="4"/>
      <c r="C5" s="4"/>
      <c r="D5" s="4"/>
      <c r="E5" s="4"/>
      <c r="F5" s="4"/>
      <c r="G5" s="2"/>
    </row>
    <row r="6" spans="1:18" ht="15" x14ac:dyDescent="0.25">
      <c r="A6" s="4"/>
      <c r="B6" s="4"/>
      <c r="C6" s="4"/>
      <c r="D6" s="4"/>
      <c r="E6" s="4"/>
      <c r="F6" s="4"/>
      <c r="G6" s="2"/>
    </row>
    <row r="7" spans="1:18" ht="18" x14ac:dyDescent="0.2">
      <c r="A7" s="95" t="s">
        <v>1087</v>
      </c>
      <c r="B7" s="95"/>
      <c r="C7" s="95"/>
      <c r="D7" s="95"/>
      <c r="E7" s="95"/>
      <c r="F7" s="95"/>
      <c r="G7" s="95"/>
      <c r="H7" s="9"/>
    </row>
    <row r="8" spans="1:18" ht="15.75" customHeight="1" x14ac:dyDescent="0.2">
      <c r="A8" s="10" t="s">
        <v>1081</v>
      </c>
      <c r="B8" s="10"/>
      <c r="C8" s="10"/>
      <c r="D8" s="19"/>
      <c r="E8" s="8"/>
      <c r="F8" s="8"/>
      <c r="G8" s="7"/>
      <c r="H8" s="9"/>
    </row>
    <row r="9" spans="1:18" ht="15.75" customHeight="1" x14ac:dyDescent="0.2">
      <c r="A9" s="88" t="s">
        <v>0</v>
      </c>
      <c r="B9" s="89"/>
      <c r="C9" s="89"/>
      <c r="D9" s="90" t="s">
        <v>1</v>
      </c>
      <c r="E9" s="92" t="s">
        <v>9</v>
      </c>
      <c r="F9" s="86" t="s">
        <v>10</v>
      </c>
      <c r="G9" s="96" t="s">
        <v>48</v>
      </c>
      <c r="H9" s="9"/>
    </row>
    <row r="10" spans="1:18" ht="15.75" customHeight="1" x14ac:dyDescent="0.2">
      <c r="A10" s="20" t="s">
        <v>2</v>
      </c>
      <c r="B10" s="20" t="s">
        <v>3</v>
      </c>
      <c r="C10" s="21" t="s">
        <v>4</v>
      </c>
      <c r="D10" s="91"/>
      <c r="E10" s="93"/>
      <c r="F10" s="87"/>
      <c r="G10" s="97"/>
      <c r="H10" s="9"/>
    </row>
    <row r="11" spans="1:18" ht="15.75" customHeight="1" x14ac:dyDescent="0.25">
      <c r="A11" s="16">
        <v>1</v>
      </c>
      <c r="B11" s="28">
        <v>10020</v>
      </c>
      <c r="C11" s="29" t="s">
        <v>683</v>
      </c>
      <c r="D11" s="30" t="s">
        <v>684</v>
      </c>
      <c r="E11" s="31" t="s">
        <v>6</v>
      </c>
      <c r="F11" s="31" t="s">
        <v>11</v>
      </c>
      <c r="G11" s="31" t="s">
        <v>13</v>
      </c>
      <c r="H11" s="9"/>
    </row>
    <row r="12" spans="1:18" ht="15.75" customHeight="1" x14ac:dyDescent="0.25">
      <c r="A12" s="16">
        <v>2</v>
      </c>
      <c r="B12" s="28">
        <v>10027</v>
      </c>
      <c r="C12" s="29" t="s">
        <v>613</v>
      </c>
      <c r="D12" s="30" t="s">
        <v>614</v>
      </c>
      <c r="E12" s="31" t="s">
        <v>6</v>
      </c>
      <c r="F12" s="31" t="s">
        <v>11</v>
      </c>
      <c r="G12" s="31" t="s">
        <v>13</v>
      </c>
      <c r="H12" s="9"/>
    </row>
    <row r="13" spans="1:18" ht="15.75" customHeight="1" x14ac:dyDescent="0.25">
      <c r="A13" s="16">
        <v>3</v>
      </c>
      <c r="B13" s="28">
        <v>10036</v>
      </c>
      <c r="C13" s="29" t="s">
        <v>969</v>
      </c>
      <c r="D13" s="30" t="s">
        <v>970</v>
      </c>
      <c r="E13" s="31" t="s">
        <v>6</v>
      </c>
      <c r="F13" s="31" t="s">
        <v>11</v>
      </c>
      <c r="G13" s="31" t="s">
        <v>14</v>
      </c>
      <c r="H13" s="9"/>
    </row>
    <row r="14" spans="1:18" ht="15.75" customHeight="1" x14ac:dyDescent="0.25">
      <c r="A14" s="16">
        <v>4</v>
      </c>
      <c r="B14" s="28">
        <v>10041</v>
      </c>
      <c r="C14" s="29" t="s">
        <v>693</v>
      </c>
      <c r="D14" s="32" t="s">
        <v>694</v>
      </c>
      <c r="E14" s="31" t="s">
        <v>6</v>
      </c>
      <c r="F14" s="31" t="s">
        <v>11</v>
      </c>
      <c r="G14" s="31" t="s">
        <v>13</v>
      </c>
      <c r="H14" s="9"/>
      <c r="K14" s="11"/>
      <c r="L14" s="12"/>
      <c r="M14" s="13"/>
      <c r="N14" s="14"/>
      <c r="O14" s="12"/>
      <c r="P14" s="12"/>
      <c r="Q14" s="15"/>
      <c r="R14" s="15"/>
    </row>
    <row r="15" spans="1:18" ht="15.75" customHeight="1" x14ac:dyDescent="0.25">
      <c r="A15" s="16">
        <v>5</v>
      </c>
      <c r="B15" s="28">
        <v>10042</v>
      </c>
      <c r="C15" s="29" t="s">
        <v>971</v>
      </c>
      <c r="D15" s="30" t="s">
        <v>972</v>
      </c>
      <c r="E15" s="31" t="s">
        <v>6</v>
      </c>
      <c r="F15" s="31" t="s">
        <v>11</v>
      </c>
      <c r="G15" s="31" t="s">
        <v>14</v>
      </c>
      <c r="H15" s="9"/>
    </row>
    <row r="16" spans="1:18" ht="15.75" customHeight="1" x14ac:dyDescent="0.25">
      <c r="A16" s="16">
        <v>6</v>
      </c>
      <c r="B16" s="28">
        <v>10046</v>
      </c>
      <c r="C16" s="29" t="s">
        <v>549</v>
      </c>
      <c r="D16" s="30" t="s">
        <v>550</v>
      </c>
      <c r="E16" s="31" t="s">
        <v>6</v>
      </c>
      <c r="F16" s="31" t="s">
        <v>11</v>
      </c>
      <c r="G16" s="31" t="s">
        <v>13</v>
      </c>
      <c r="H16" s="9"/>
    </row>
    <row r="17" spans="1:17" ht="15.75" customHeight="1" x14ac:dyDescent="0.25">
      <c r="A17" s="16">
        <v>7</v>
      </c>
      <c r="B17" s="28">
        <v>10047</v>
      </c>
      <c r="C17" s="29" t="s">
        <v>839</v>
      </c>
      <c r="D17" s="32" t="s">
        <v>840</v>
      </c>
      <c r="E17" s="31" t="s">
        <v>6</v>
      </c>
      <c r="F17" s="31" t="s">
        <v>11</v>
      </c>
      <c r="G17" s="31" t="s">
        <v>13</v>
      </c>
      <c r="H17" s="9"/>
    </row>
    <row r="18" spans="1:17" ht="15.75" customHeight="1" x14ac:dyDescent="0.25">
      <c r="A18" s="16">
        <v>8</v>
      </c>
      <c r="B18" s="28">
        <v>10049</v>
      </c>
      <c r="C18" s="29" t="s">
        <v>901</v>
      </c>
      <c r="D18" s="30" t="s">
        <v>902</v>
      </c>
      <c r="E18" s="31" t="s">
        <v>6</v>
      </c>
      <c r="F18" s="31" t="s">
        <v>11</v>
      </c>
      <c r="G18" s="31" t="s">
        <v>13</v>
      </c>
      <c r="H18" s="9"/>
    </row>
    <row r="19" spans="1:17" ht="15.75" customHeight="1" x14ac:dyDescent="0.25">
      <c r="A19" s="16">
        <v>9</v>
      </c>
      <c r="B19" s="28">
        <v>10059</v>
      </c>
      <c r="C19" s="29" t="s">
        <v>695</v>
      </c>
      <c r="D19" s="30" t="s">
        <v>696</v>
      </c>
      <c r="E19" s="31" t="s">
        <v>6</v>
      </c>
      <c r="F19" s="31" t="s">
        <v>11</v>
      </c>
      <c r="G19" s="31" t="s">
        <v>13</v>
      </c>
      <c r="H19" s="9"/>
    </row>
    <row r="20" spans="1:17" ht="15.75" customHeight="1" x14ac:dyDescent="0.25">
      <c r="A20" s="16">
        <v>10</v>
      </c>
      <c r="B20" s="28">
        <v>10079</v>
      </c>
      <c r="C20" s="26" t="s">
        <v>849</v>
      </c>
      <c r="D20" s="27" t="s">
        <v>850</v>
      </c>
      <c r="E20" s="18" t="s">
        <v>5</v>
      </c>
      <c r="F20" s="31" t="s">
        <v>11</v>
      </c>
      <c r="G20" s="31" t="s">
        <v>13</v>
      </c>
      <c r="H20" s="9"/>
    </row>
    <row r="21" spans="1:17" ht="15.75" customHeight="1" x14ac:dyDescent="0.25">
      <c r="A21" s="16">
        <v>11</v>
      </c>
      <c r="B21" s="28">
        <v>10089</v>
      </c>
      <c r="C21" s="26" t="s">
        <v>915</v>
      </c>
      <c r="D21" s="17" t="s">
        <v>916</v>
      </c>
      <c r="E21" s="18" t="s">
        <v>5</v>
      </c>
      <c r="F21" s="31" t="s">
        <v>11</v>
      </c>
      <c r="G21" s="31" t="s">
        <v>13</v>
      </c>
      <c r="H21" s="9"/>
    </row>
    <row r="22" spans="1:17" ht="15.75" customHeight="1" x14ac:dyDescent="0.25">
      <c r="A22" s="16">
        <v>12</v>
      </c>
      <c r="B22" s="28">
        <v>10093</v>
      </c>
      <c r="C22" s="29" t="s">
        <v>917</v>
      </c>
      <c r="D22" s="30" t="s">
        <v>918</v>
      </c>
      <c r="E22" s="31" t="s">
        <v>6</v>
      </c>
      <c r="F22" s="31" t="s">
        <v>11</v>
      </c>
      <c r="G22" s="31" t="s">
        <v>13</v>
      </c>
      <c r="H22" s="9"/>
    </row>
    <row r="23" spans="1:17" ht="15.75" customHeight="1" x14ac:dyDescent="0.25">
      <c r="A23" s="16">
        <v>13</v>
      </c>
      <c r="B23" s="28">
        <v>10099</v>
      </c>
      <c r="C23" s="29" t="s">
        <v>921</v>
      </c>
      <c r="D23" s="30" t="s">
        <v>922</v>
      </c>
      <c r="E23" s="31" t="s">
        <v>5</v>
      </c>
      <c r="F23" s="31" t="s">
        <v>11</v>
      </c>
      <c r="G23" s="31" t="s">
        <v>13</v>
      </c>
      <c r="H23" s="9"/>
    </row>
    <row r="24" spans="1:17" ht="15.75" customHeight="1" x14ac:dyDescent="0.25">
      <c r="A24" s="16">
        <v>14</v>
      </c>
      <c r="B24" s="28">
        <v>10109</v>
      </c>
      <c r="C24" s="29" t="s">
        <v>925</v>
      </c>
      <c r="D24" s="32" t="s">
        <v>926</v>
      </c>
      <c r="E24" s="31" t="s">
        <v>6</v>
      </c>
      <c r="F24" s="31" t="s">
        <v>11</v>
      </c>
      <c r="G24" s="31" t="s">
        <v>13</v>
      </c>
      <c r="H24" s="9"/>
    </row>
    <row r="25" spans="1:17" ht="15.75" customHeight="1" x14ac:dyDescent="0.25">
      <c r="A25" s="16">
        <v>15</v>
      </c>
      <c r="B25" s="28">
        <v>10117</v>
      </c>
      <c r="C25" s="29" t="s">
        <v>927</v>
      </c>
      <c r="D25" s="30" t="s">
        <v>928</v>
      </c>
      <c r="E25" s="31" t="s">
        <v>6</v>
      </c>
      <c r="F25" s="31" t="s">
        <v>11</v>
      </c>
      <c r="G25" s="31" t="s">
        <v>13</v>
      </c>
      <c r="H25" s="9"/>
    </row>
    <row r="26" spans="1:17" ht="15.75" customHeight="1" x14ac:dyDescent="0.25">
      <c r="A26" s="16">
        <v>16</v>
      </c>
      <c r="B26" s="28">
        <v>10137</v>
      </c>
      <c r="C26" s="29" t="s">
        <v>933</v>
      </c>
      <c r="D26" s="30" t="s">
        <v>934</v>
      </c>
      <c r="E26" s="31" t="s">
        <v>6</v>
      </c>
      <c r="F26" s="31" t="s">
        <v>11</v>
      </c>
      <c r="G26" s="31" t="s">
        <v>13</v>
      </c>
      <c r="H26" s="9"/>
      <c r="M26" s="22"/>
      <c r="N26" s="23"/>
      <c r="O26" s="24"/>
      <c r="P26" s="25"/>
      <c r="Q26" s="25"/>
    </row>
    <row r="27" spans="1:17" ht="15.75" customHeight="1" x14ac:dyDescent="0.25">
      <c r="A27" s="16">
        <v>17</v>
      </c>
      <c r="B27" s="28">
        <v>10138</v>
      </c>
      <c r="C27" s="29" t="s">
        <v>935</v>
      </c>
      <c r="D27" s="30" t="s">
        <v>936</v>
      </c>
      <c r="E27" s="31" t="s">
        <v>6</v>
      </c>
      <c r="F27" s="31" t="s">
        <v>11</v>
      </c>
      <c r="G27" s="31" t="s">
        <v>13</v>
      </c>
      <c r="H27" s="9"/>
    </row>
    <row r="28" spans="1:17" ht="15.75" customHeight="1" x14ac:dyDescent="0.25">
      <c r="A28" s="16">
        <v>18</v>
      </c>
      <c r="B28" s="28">
        <v>10144</v>
      </c>
      <c r="C28" s="29" t="s">
        <v>999</v>
      </c>
      <c r="D28" s="30" t="s">
        <v>1000</v>
      </c>
      <c r="E28" s="31" t="s">
        <v>6</v>
      </c>
      <c r="F28" s="31" t="s">
        <v>11</v>
      </c>
      <c r="G28" s="31" t="s">
        <v>14</v>
      </c>
      <c r="H28" s="9"/>
    </row>
    <row r="29" spans="1:17" ht="15.75" customHeight="1" x14ac:dyDescent="0.25">
      <c r="A29" s="16">
        <v>19</v>
      </c>
      <c r="B29" s="28">
        <v>10147</v>
      </c>
      <c r="C29" s="29" t="s">
        <v>639</v>
      </c>
      <c r="D29" s="32" t="s">
        <v>640</v>
      </c>
      <c r="E29" s="31" t="s">
        <v>6</v>
      </c>
      <c r="F29" s="31" t="s">
        <v>12</v>
      </c>
      <c r="G29" s="31" t="s">
        <v>13</v>
      </c>
      <c r="H29" s="9"/>
    </row>
    <row r="30" spans="1:17" ht="15.75" customHeight="1" x14ac:dyDescent="0.25">
      <c r="A30" s="16">
        <v>20</v>
      </c>
      <c r="B30" s="28">
        <v>10149</v>
      </c>
      <c r="C30" s="29" t="s">
        <v>939</v>
      </c>
      <c r="D30" s="30" t="s">
        <v>940</v>
      </c>
      <c r="E30" s="31" t="s">
        <v>6</v>
      </c>
      <c r="F30" s="31" t="s">
        <v>11</v>
      </c>
      <c r="G30" s="31" t="s">
        <v>13</v>
      </c>
      <c r="H30" s="9"/>
    </row>
    <row r="31" spans="1:17" ht="15.75" customHeight="1" x14ac:dyDescent="0.25">
      <c r="A31" s="16">
        <v>21</v>
      </c>
      <c r="B31" s="28">
        <v>10156</v>
      </c>
      <c r="C31" s="29" t="s">
        <v>1005</v>
      </c>
      <c r="D31" s="30" t="s">
        <v>1006</v>
      </c>
      <c r="E31" s="31" t="s">
        <v>5</v>
      </c>
      <c r="F31" s="31" t="s">
        <v>11</v>
      </c>
      <c r="G31" s="31" t="s">
        <v>14</v>
      </c>
      <c r="H31" s="9"/>
    </row>
    <row r="32" spans="1:17" ht="15.75" customHeight="1" x14ac:dyDescent="0.25">
      <c r="A32" s="16">
        <v>22</v>
      </c>
      <c r="B32" s="28">
        <v>10164</v>
      </c>
      <c r="C32" s="29" t="s">
        <v>731</v>
      </c>
      <c r="D32" s="32" t="s">
        <v>732</v>
      </c>
      <c r="E32" s="31" t="s">
        <v>5</v>
      </c>
      <c r="F32" s="31" t="s">
        <v>11</v>
      </c>
      <c r="G32" s="31" t="s">
        <v>13</v>
      </c>
      <c r="H32" s="9"/>
    </row>
    <row r="33" spans="1:8" ht="15.75" customHeight="1" x14ac:dyDescent="0.25">
      <c r="A33" s="16">
        <v>23</v>
      </c>
      <c r="B33" s="28">
        <v>10169</v>
      </c>
      <c r="C33" s="29" t="s">
        <v>873</v>
      </c>
      <c r="D33" s="30" t="s">
        <v>874</v>
      </c>
      <c r="E33" s="31" t="s">
        <v>5</v>
      </c>
      <c r="F33" s="31" t="s">
        <v>11</v>
      </c>
      <c r="G33" s="31" t="s">
        <v>13</v>
      </c>
      <c r="H33" s="9"/>
    </row>
    <row r="34" spans="1:8" ht="15.75" customHeight="1" x14ac:dyDescent="0.25">
      <c r="A34" s="16">
        <v>24</v>
      </c>
      <c r="B34" s="28">
        <v>10186</v>
      </c>
      <c r="C34" s="29" t="s">
        <v>877</v>
      </c>
      <c r="D34" s="32" t="s">
        <v>878</v>
      </c>
      <c r="E34" s="31" t="s">
        <v>6</v>
      </c>
      <c r="F34" s="31" t="s">
        <v>11</v>
      </c>
      <c r="G34" s="31" t="s">
        <v>13</v>
      </c>
      <c r="H34" s="9"/>
    </row>
    <row r="35" spans="1:8" ht="15.75" customHeight="1" x14ac:dyDescent="0.25">
      <c r="A35" s="16">
        <v>25</v>
      </c>
      <c r="B35" s="28">
        <v>10193</v>
      </c>
      <c r="C35" s="29" t="s">
        <v>951</v>
      </c>
      <c r="D35" s="30" t="s">
        <v>952</v>
      </c>
      <c r="E35" s="31" t="s">
        <v>6</v>
      </c>
      <c r="F35" s="31" t="s">
        <v>11</v>
      </c>
      <c r="G35" s="31" t="s">
        <v>13</v>
      </c>
      <c r="H35" s="9"/>
    </row>
    <row r="36" spans="1:8" ht="15.75" customHeight="1" x14ac:dyDescent="0.25">
      <c r="A36" s="16">
        <v>26</v>
      </c>
      <c r="B36" s="28">
        <v>10195</v>
      </c>
      <c r="C36" s="26" t="s">
        <v>587</v>
      </c>
      <c r="D36" s="27" t="s">
        <v>588</v>
      </c>
      <c r="E36" s="18" t="s">
        <v>6</v>
      </c>
      <c r="F36" s="31" t="s">
        <v>49</v>
      </c>
      <c r="G36" s="73" t="s">
        <v>14</v>
      </c>
      <c r="H36" s="9"/>
    </row>
    <row r="37" spans="1:8" ht="15.75" customHeight="1" x14ac:dyDescent="0.25">
      <c r="A37" s="16">
        <v>27</v>
      </c>
      <c r="B37" s="28">
        <v>10213</v>
      </c>
      <c r="C37" s="29" t="s">
        <v>1019</v>
      </c>
      <c r="D37" s="30" t="s">
        <v>1020</v>
      </c>
      <c r="E37" s="31" t="s">
        <v>5</v>
      </c>
      <c r="F37" s="31" t="s">
        <v>11</v>
      </c>
      <c r="G37" s="31" t="s">
        <v>14</v>
      </c>
      <c r="H37" s="9"/>
    </row>
    <row r="38" spans="1:8" ht="15.75" customHeight="1" x14ac:dyDescent="0.25">
      <c r="A38" s="16">
        <v>28</v>
      </c>
      <c r="B38" s="28">
        <v>10226</v>
      </c>
      <c r="C38" s="29" t="s">
        <v>1023</v>
      </c>
      <c r="D38" s="30" t="s">
        <v>1024</v>
      </c>
      <c r="E38" s="31" t="s">
        <v>6</v>
      </c>
      <c r="F38" s="31" t="s">
        <v>11</v>
      </c>
      <c r="G38" s="31" t="s">
        <v>14</v>
      </c>
      <c r="H38" s="9"/>
    </row>
    <row r="39" spans="1:8" ht="15.75" customHeight="1" x14ac:dyDescent="0.25">
      <c r="A39" s="16">
        <v>29</v>
      </c>
      <c r="B39" s="28">
        <v>10228</v>
      </c>
      <c r="C39" s="29" t="s">
        <v>811</v>
      </c>
      <c r="D39" s="30" t="s">
        <v>812</v>
      </c>
      <c r="E39" s="31" t="s">
        <v>6</v>
      </c>
      <c r="F39" s="31" t="s">
        <v>11</v>
      </c>
      <c r="G39" s="31" t="s">
        <v>14</v>
      </c>
      <c r="H39" s="9"/>
    </row>
    <row r="40" spans="1:8" ht="15.75" customHeight="1" x14ac:dyDescent="0.25">
      <c r="A40" s="16">
        <v>30</v>
      </c>
      <c r="B40" s="28">
        <v>10235</v>
      </c>
      <c r="C40" s="29" t="s">
        <v>749</v>
      </c>
      <c r="D40" s="30" t="s">
        <v>750</v>
      </c>
      <c r="E40" s="31" t="s">
        <v>6</v>
      </c>
      <c r="F40" s="31" t="s">
        <v>11</v>
      </c>
      <c r="G40" s="31" t="s">
        <v>13</v>
      </c>
      <c r="H40" s="9"/>
    </row>
    <row r="41" spans="1:8" ht="15.75" customHeight="1" x14ac:dyDescent="0.25">
      <c r="A41" s="16">
        <v>31</v>
      </c>
      <c r="B41" s="28">
        <v>10238</v>
      </c>
      <c r="C41" s="29" t="s">
        <v>965</v>
      </c>
      <c r="D41" s="30" t="s">
        <v>966</v>
      </c>
      <c r="E41" s="31" t="s">
        <v>6</v>
      </c>
      <c r="F41" s="31" t="s">
        <v>11</v>
      </c>
      <c r="G41" s="31" t="s">
        <v>13</v>
      </c>
      <c r="H41" s="9"/>
    </row>
    <row r="42" spans="1:8" ht="15.75" customHeight="1" x14ac:dyDescent="0.25">
      <c r="A42" s="16">
        <v>32</v>
      </c>
      <c r="B42" s="28">
        <v>10243</v>
      </c>
      <c r="C42" s="29" t="s">
        <v>889</v>
      </c>
      <c r="D42" s="30" t="s">
        <v>890</v>
      </c>
      <c r="E42" s="31" t="s">
        <v>6</v>
      </c>
      <c r="F42" s="31" t="s">
        <v>11</v>
      </c>
      <c r="G42" s="31" t="s">
        <v>13</v>
      </c>
      <c r="H42" s="9"/>
    </row>
    <row r="43" spans="1:8" ht="15.75" customHeight="1" x14ac:dyDescent="0.25">
      <c r="A43" s="16">
        <v>33</v>
      </c>
      <c r="B43" s="28">
        <v>10251</v>
      </c>
      <c r="C43" s="29" t="s">
        <v>607</v>
      </c>
      <c r="D43" s="30" t="s">
        <v>608</v>
      </c>
      <c r="E43" s="31" t="s">
        <v>6</v>
      </c>
      <c r="F43" s="31" t="s">
        <v>11</v>
      </c>
      <c r="G43" s="31" t="s">
        <v>13</v>
      </c>
      <c r="H43" s="9"/>
    </row>
    <row r="44" spans="1:8" ht="15.75" customHeight="1" x14ac:dyDescent="0.25">
      <c r="A44" s="16">
        <v>34</v>
      </c>
      <c r="B44" s="33">
        <v>10256</v>
      </c>
      <c r="C44" s="34" t="s">
        <v>815</v>
      </c>
      <c r="D44" s="35" t="s">
        <v>816</v>
      </c>
      <c r="E44" s="36" t="s">
        <v>5</v>
      </c>
      <c r="F44" s="36" t="s">
        <v>11</v>
      </c>
      <c r="G44" s="31" t="s">
        <v>14</v>
      </c>
      <c r="H44" s="9"/>
    </row>
    <row r="45" spans="1:8" ht="15.75" customHeight="1" x14ac:dyDescent="0.25">
      <c r="A45" s="16">
        <v>35</v>
      </c>
      <c r="B45" s="28">
        <v>10258</v>
      </c>
      <c r="C45" s="29" t="s">
        <v>817</v>
      </c>
      <c r="D45" s="30" t="s">
        <v>818</v>
      </c>
      <c r="E45" s="31" t="s">
        <v>6</v>
      </c>
      <c r="F45" s="31" t="s">
        <v>11</v>
      </c>
      <c r="G45" s="31" t="s">
        <v>14</v>
      </c>
      <c r="H45" s="9"/>
    </row>
    <row r="46" spans="1:8" ht="15.75" customHeight="1" x14ac:dyDescent="0.25">
      <c r="A46" s="16">
        <v>36</v>
      </c>
      <c r="B46" s="33">
        <v>10263</v>
      </c>
      <c r="C46" s="34" t="s">
        <v>823</v>
      </c>
      <c r="D46" s="35" t="s">
        <v>824</v>
      </c>
      <c r="E46" s="36" t="s">
        <v>6</v>
      </c>
      <c r="F46" s="36" t="s">
        <v>11</v>
      </c>
      <c r="G46" s="31" t="s">
        <v>14</v>
      </c>
      <c r="H46" s="9"/>
    </row>
    <row r="47" spans="1:8" ht="15.75" customHeight="1" x14ac:dyDescent="0.2">
      <c r="A47" s="3" t="s">
        <v>5</v>
      </c>
      <c r="B47" s="3">
        <f>COUNTIF(E11:E46,A47)</f>
        <v>8</v>
      </c>
      <c r="C47" s="1" t="s">
        <v>8</v>
      </c>
      <c r="D47" s="6" t="s">
        <v>11</v>
      </c>
      <c r="E47" s="3">
        <f>COUNTIF(F11:F46,D47)</f>
        <v>34</v>
      </c>
      <c r="F47" s="3"/>
      <c r="G47" s="7"/>
      <c r="H47" s="9"/>
    </row>
    <row r="48" spans="1:8" ht="15.75" customHeight="1" x14ac:dyDescent="0.2">
      <c r="A48" s="3" t="s">
        <v>6</v>
      </c>
      <c r="B48" s="5">
        <f>COUNTIF(E11:E46,A48)</f>
        <v>28</v>
      </c>
      <c r="C48" s="1" t="s">
        <v>8</v>
      </c>
      <c r="D48" s="6" t="s">
        <v>49</v>
      </c>
      <c r="E48" s="3">
        <f>COUNTIF(F11:F46,D48)</f>
        <v>1</v>
      </c>
      <c r="F48" s="3"/>
      <c r="G48" s="7"/>
      <c r="H48" s="9"/>
    </row>
    <row r="49" spans="1:8" ht="15.75" customHeight="1" x14ac:dyDescent="0.2">
      <c r="A49" s="3" t="s">
        <v>7</v>
      </c>
      <c r="B49" s="3">
        <f>B47+B48</f>
        <v>36</v>
      </c>
      <c r="C49" s="1" t="s">
        <v>8</v>
      </c>
      <c r="D49" s="6" t="s">
        <v>12</v>
      </c>
      <c r="E49" s="3">
        <f>COUNTIF(F11:F46,D49)</f>
        <v>1</v>
      </c>
      <c r="F49" s="3"/>
      <c r="G49" s="7"/>
      <c r="H49" s="9"/>
    </row>
    <row r="50" spans="1:8" ht="15.75" customHeight="1" x14ac:dyDescent="0.2">
      <c r="D50" s="40" t="s">
        <v>13</v>
      </c>
      <c r="E50" s="41">
        <f>COUNTIF(G11:G46,D50)</f>
        <v>25</v>
      </c>
      <c r="F50" s="3"/>
      <c r="G50" s="7"/>
      <c r="H50" s="9"/>
    </row>
    <row r="51" spans="1:8" ht="15.75" customHeight="1" x14ac:dyDescent="0.2">
      <c r="D51" s="40" t="s">
        <v>14</v>
      </c>
      <c r="E51" s="41">
        <f>COUNTIF(G11:G46,D51)</f>
        <v>11</v>
      </c>
      <c r="F51" s="3"/>
      <c r="G51" s="7"/>
      <c r="H51" s="9"/>
    </row>
    <row r="52" spans="1:8" ht="15.75" customHeight="1" x14ac:dyDescent="0.2">
      <c r="A52" s="10" t="s">
        <v>1088</v>
      </c>
      <c r="B52" s="10"/>
      <c r="C52" s="10"/>
      <c r="D52" s="19"/>
      <c r="E52" s="8"/>
      <c r="F52" s="8"/>
      <c r="G52" s="7"/>
      <c r="H52" s="37"/>
    </row>
    <row r="53" spans="1:8" ht="15.75" customHeight="1" x14ac:dyDescent="0.2">
      <c r="A53" s="88" t="s">
        <v>0</v>
      </c>
      <c r="B53" s="89"/>
      <c r="C53" s="89"/>
      <c r="D53" s="90" t="s">
        <v>1</v>
      </c>
      <c r="E53" s="92" t="s">
        <v>9</v>
      </c>
      <c r="F53" s="86" t="s">
        <v>10</v>
      </c>
      <c r="G53" s="96" t="s">
        <v>48</v>
      </c>
      <c r="H53" s="37"/>
    </row>
    <row r="54" spans="1:8" ht="15.75" customHeight="1" x14ac:dyDescent="0.2">
      <c r="A54" s="20" t="s">
        <v>2</v>
      </c>
      <c r="B54" s="20" t="s">
        <v>3</v>
      </c>
      <c r="C54" s="21" t="s">
        <v>4</v>
      </c>
      <c r="D54" s="91"/>
      <c r="E54" s="93"/>
      <c r="F54" s="87"/>
      <c r="G54" s="97"/>
      <c r="H54" s="37"/>
    </row>
    <row r="55" spans="1:8" ht="15.75" customHeight="1" x14ac:dyDescent="0.25">
      <c r="A55" s="16">
        <v>1</v>
      </c>
      <c r="B55" s="28">
        <v>10028</v>
      </c>
      <c r="C55" s="29" t="s">
        <v>831</v>
      </c>
      <c r="D55" s="30" t="s">
        <v>832</v>
      </c>
      <c r="E55" s="31" t="s">
        <v>6</v>
      </c>
      <c r="F55" s="31" t="s">
        <v>11</v>
      </c>
      <c r="G55" s="31" t="s">
        <v>13</v>
      </c>
      <c r="H55" s="37"/>
    </row>
    <row r="56" spans="1:8" ht="15.75" customHeight="1" x14ac:dyDescent="0.25">
      <c r="A56" s="16">
        <v>2</v>
      </c>
      <c r="B56" s="28">
        <v>10033</v>
      </c>
      <c r="C56" s="29" t="s">
        <v>689</v>
      </c>
      <c r="D56" s="30" t="s">
        <v>690</v>
      </c>
      <c r="E56" s="31" t="s">
        <v>6</v>
      </c>
      <c r="F56" s="31" t="s">
        <v>11</v>
      </c>
      <c r="G56" s="31" t="s">
        <v>13</v>
      </c>
      <c r="H56" s="37"/>
    </row>
    <row r="57" spans="1:8" ht="15.75" customHeight="1" x14ac:dyDescent="0.25">
      <c r="A57" s="16">
        <v>3</v>
      </c>
      <c r="B57" s="28">
        <v>10043</v>
      </c>
      <c r="C57" s="29" t="s">
        <v>619</v>
      </c>
      <c r="D57" s="30" t="s">
        <v>620</v>
      </c>
      <c r="E57" s="31" t="s">
        <v>6</v>
      </c>
      <c r="F57" s="31" t="s">
        <v>11</v>
      </c>
      <c r="G57" s="31" t="s">
        <v>13</v>
      </c>
      <c r="H57" s="37"/>
    </row>
    <row r="58" spans="1:8" ht="15.75" customHeight="1" x14ac:dyDescent="0.25">
      <c r="A58" s="16">
        <v>4</v>
      </c>
      <c r="B58" s="28">
        <v>10044</v>
      </c>
      <c r="C58" s="29" t="s">
        <v>547</v>
      </c>
      <c r="D58" s="30" t="s">
        <v>548</v>
      </c>
      <c r="E58" s="31" t="s">
        <v>6</v>
      </c>
      <c r="F58" s="31" t="s">
        <v>11</v>
      </c>
      <c r="G58" s="31" t="s">
        <v>13</v>
      </c>
      <c r="H58" s="37"/>
    </row>
    <row r="59" spans="1:8" ht="15.75" customHeight="1" x14ac:dyDescent="0.25">
      <c r="A59" s="16">
        <v>5</v>
      </c>
      <c r="B59" s="28">
        <v>10052</v>
      </c>
      <c r="C59" s="29" t="s">
        <v>903</v>
      </c>
      <c r="D59" s="32" t="s">
        <v>904</v>
      </c>
      <c r="E59" s="31" t="s">
        <v>6</v>
      </c>
      <c r="F59" s="31" t="s">
        <v>11</v>
      </c>
      <c r="G59" s="31" t="s">
        <v>13</v>
      </c>
      <c r="H59" s="37"/>
    </row>
    <row r="60" spans="1:8" ht="15.75" customHeight="1" x14ac:dyDescent="0.25">
      <c r="A60" s="16">
        <v>6</v>
      </c>
      <c r="B60" s="28">
        <v>10057</v>
      </c>
      <c r="C60" s="29" t="s">
        <v>973</v>
      </c>
      <c r="D60" s="30" t="s">
        <v>974</v>
      </c>
      <c r="E60" s="31" t="s">
        <v>6</v>
      </c>
      <c r="F60" s="31" t="s">
        <v>11</v>
      </c>
      <c r="G60" s="31" t="s">
        <v>14</v>
      </c>
      <c r="H60" s="37"/>
    </row>
    <row r="61" spans="1:8" ht="15.75" customHeight="1" x14ac:dyDescent="0.25">
      <c r="A61" s="16">
        <v>7</v>
      </c>
      <c r="B61" s="28">
        <v>10069</v>
      </c>
      <c r="C61" s="29" t="s">
        <v>977</v>
      </c>
      <c r="D61" s="30" t="s">
        <v>978</v>
      </c>
      <c r="E61" s="31" t="s">
        <v>5</v>
      </c>
      <c r="F61" s="31" t="s">
        <v>11</v>
      </c>
      <c r="G61" s="31" t="s">
        <v>14</v>
      </c>
      <c r="H61" s="37"/>
    </row>
    <row r="62" spans="1:8" ht="15.75" customHeight="1" x14ac:dyDescent="0.25">
      <c r="A62" s="16">
        <v>8</v>
      </c>
      <c r="B62" s="28">
        <v>10076</v>
      </c>
      <c r="C62" s="29" t="s">
        <v>705</v>
      </c>
      <c r="D62" s="32" t="s">
        <v>706</v>
      </c>
      <c r="E62" s="31" t="s">
        <v>6</v>
      </c>
      <c r="F62" s="31" t="s">
        <v>11</v>
      </c>
      <c r="G62" s="31" t="s">
        <v>13</v>
      </c>
      <c r="H62" s="37"/>
    </row>
    <row r="63" spans="1:8" ht="15.75" customHeight="1" x14ac:dyDescent="0.25">
      <c r="A63" s="16">
        <v>9</v>
      </c>
      <c r="B63" s="28">
        <v>10078</v>
      </c>
      <c r="C63" s="34" t="s">
        <v>553</v>
      </c>
      <c r="D63" s="32" t="s">
        <v>554</v>
      </c>
      <c r="E63" s="31" t="s">
        <v>5</v>
      </c>
      <c r="F63" s="31" t="s">
        <v>11</v>
      </c>
      <c r="G63" s="31" t="s">
        <v>13</v>
      </c>
      <c r="H63" s="37"/>
    </row>
    <row r="64" spans="1:8" ht="15.75" customHeight="1" x14ac:dyDescent="0.25">
      <c r="A64" s="16">
        <v>10</v>
      </c>
      <c r="B64" s="28">
        <v>10097</v>
      </c>
      <c r="C64" s="29" t="s">
        <v>919</v>
      </c>
      <c r="D64" s="30" t="s">
        <v>920</v>
      </c>
      <c r="E64" s="31" t="s">
        <v>5</v>
      </c>
      <c r="F64" s="31" t="s">
        <v>11</v>
      </c>
      <c r="G64" s="31" t="s">
        <v>13</v>
      </c>
      <c r="H64" s="37"/>
    </row>
    <row r="65" spans="1:8" ht="15.75" customHeight="1" x14ac:dyDescent="0.25">
      <c r="A65" s="16">
        <v>11</v>
      </c>
      <c r="B65" s="28">
        <v>10102</v>
      </c>
      <c r="C65" s="29" t="s">
        <v>565</v>
      </c>
      <c r="D65" s="32" t="s">
        <v>566</v>
      </c>
      <c r="E65" s="31" t="s">
        <v>6</v>
      </c>
      <c r="F65" s="31" t="s">
        <v>11</v>
      </c>
      <c r="G65" s="31" t="s">
        <v>13</v>
      </c>
      <c r="H65" s="37"/>
    </row>
    <row r="66" spans="1:8" ht="15.75" customHeight="1" x14ac:dyDescent="0.25">
      <c r="A66" s="16">
        <v>12</v>
      </c>
      <c r="B66" s="28">
        <v>10128</v>
      </c>
      <c r="C66" s="29" t="s">
        <v>993</v>
      </c>
      <c r="D66" s="30" t="s">
        <v>994</v>
      </c>
      <c r="E66" s="31" t="s">
        <v>5</v>
      </c>
      <c r="F66" s="31" t="s">
        <v>11</v>
      </c>
      <c r="G66" s="31" t="s">
        <v>14</v>
      </c>
      <c r="H66" s="37"/>
    </row>
    <row r="67" spans="1:8" ht="15.75" customHeight="1" x14ac:dyDescent="0.25">
      <c r="A67" s="16">
        <v>13</v>
      </c>
      <c r="B67" s="28">
        <v>10130</v>
      </c>
      <c r="C67" s="34" t="s">
        <v>865</v>
      </c>
      <c r="D67" s="30" t="s">
        <v>866</v>
      </c>
      <c r="E67" s="31" t="s">
        <v>6</v>
      </c>
      <c r="F67" s="31" t="s">
        <v>11</v>
      </c>
      <c r="G67" s="31" t="s">
        <v>13</v>
      </c>
      <c r="H67" s="37"/>
    </row>
    <row r="68" spans="1:8" ht="15.75" customHeight="1" x14ac:dyDescent="0.25">
      <c r="A68" s="16">
        <v>14</v>
      </c>
      <c r="B68" s="28">
        <v>10136</v>
      </c>
      <c r="C68" s="29" t="s">
        <v>931</v>
      </c>
      <c r="D68" s="30" t="s">
        <v>932</v>
      </c>
      <c r="E68" s="31" t="s">
        <v>6</v>
      </c>
      <c r="F68" s="31" t="s">
        <v>11</v>
      </c>
      <c r="G68" s="31" t="s">
        <v>13</v>
      </c>
      <c r="H68" s="37"/>
    </row>
    <row r="69" spans="1:8" ht="15.75" customHeight="1" x14ac:dyDescent="0.25">
      <c r="A69" s="16">
        <v>15</v>
      </c>
      <c r="B69" s="28">
        <v>10152</v>
      </c>
      <c r="C69" s="29" t="s">
        <v>1003</v>
      </c>
      <c r="D69" s="30" t="s">
        <v>1004</v>
      </c>
      <c r="E69" s="31" t="s">
        <v>6</v>
      </c>
      <c r="F69" s="31" t="s">
        <v>11</v>
      </c>
      <c r="G69" s="31" t="s">
        <v>14</v>
      </c>
      <c r="H69" s="37"/>
    </row>
    <row r="70" spans="1:8" ht="15.75" customHeight="1" x14ac:dyDescent="0.25">
      <c r="A70" s="16">
        <v>16</v>
      </c>
      <c r="B70" s="28">
        <v>10154</v>
      </c>
      <c r="C70" s="29" t="s">
        <v>727</v>
      </c>
      <c r="D70" s="32" t="s">
        <v>728</v>
      </c>
      <c r="E70" s="31" t="s">
        <v>6</v>
      </c>
      <c r="F70" s="31" t="s">
        <v>11</v>
      </c>
      <c r="G70" s="31" t="s">
        <v>13</v>
      </c>
      <c r="H70" s="37"/>
    </row>
    <row r="71" spans="1:8" ht="15.75" customHeight="1" x14ac:dyDescent="0.25">
      <c r="A71" s="16">
        <v>17</v>
      </c>
      <c r="B71" s="28">
        <v>10155</v>
      </c>
      <c r="C71" s="29" t="s">
        <v>641</v>
      </c>
      <c r="D71" s="30" t="s">
        <v>642</v>
      </c>
      <c r="E71" s="31" t="s">
        <v>6</v>
      </c>
      <c r="F71" s="31" t="s">
        <v>11</v>
      </c>
      <c r="G71" s="31" t="s">
        <v>13</v>
      </c>
      <c r="H71" s="37"/>
    </row>
    <row r="72" spans="1:8" ht="15.75" customHeight="1" x14ac:dyDescent="0.25">
      <c r="A72" s="16">
        <v>18</v>
      </c>
      <c r="B72" s="28">
        <v>10165</v>
      </c>
      <c r="C72" s="26" t="s">
        <v>1007</v>
      </c>
      <c r="D72" s="27" t="s">
        <v>1008</v>
      </c>
      <c r="E72" s="18" t="s">
        <v>5</v>
      </c>
      <c r="F72" s="31" t="s">
        <v>11</v>
      </c>
      <c r="G72" s="31" t="s">
        <v>14</v>
      </c>
      <c r="H72" s="37"/>
    </row>
    <row r="73" spans="1:8" ht="15.75" customHeight="1" x14ac:dyDescent="0.25">
      <c r="A73" s="16">
        <v>19</v>
      </c>
      <c r="B73" s="28">
        <v>10167</v>
      </c>
      <c r="C73" s="29" t="s">
        <v>1009</v>
      </c>
      <c r="D73" s="30" t="s">
        <v>1010</v>
      </c>
      <c r="E73" s="31" t="s">
        <v>5</v>
      </c>
      <c r="F73" s="31" t="s">
        <v>11</v>
      </c>
      <c r="G73" s="31" t="s">
        <v>14</v>
      </c>
      <c r="H73" s="37"/>
    </row>
    <row r="74" spans="1:8" ht="15.75" customHeight="1" x14ac:dyDescent="0.25">
      <c r="A74" s="16">
        <v>20</v>
      </c>
      <c r="B74" s="28">
        <v>10172</v>
      </c>
      <c r="C74" s="29" t="s">
        <v>579</v>
      </c>
      <c r="D74" s="30" t="s">
        <v>580</v>
      </c>
      <c r="E74" s="31" t="s">
        <v>6</v>
      </c>
      <c r="F74" s="31" t="s">
        <v>11</v>
      </c>
      <c r="G74" s="31" t="s">
        <v>13</v>
      </c>
      <c r="H74" s="37"/>
    </row>
    <row r="75" spans="1:8" ht="15.75" customHeight="1" x14ac:dyDescent="0.25">
      <c r="A75" s="16">
        <v>21</v>
      </c>
      <c r="B75" s="28">
        <v>10175</v>
      </c>
      <c r="C75" s="29" t="s">
        <v>875</v>
      </c>
      <c r="D75" s="30" t="s">
        <v>876</v>
      </c>
      <c r="E75" s="31" t="s">
        <v>6</v>
      </c>
      <c r="F75" s="31" t="s">
        <v>11</v>
      </c>
      <c r="G75" s="31" t="s">
        <v>13</v>
      </c>
      <c r="H75" s="37"/>
    </row>
    <row r="76" spans="1:8" ht="15.75" customHeight="1" x14ac:dyDescent="0.25">
      <c r="A76" s="16">
        <v>22</v>
      </c>
      <c r="B76" s="28">
        <v>10177</v>
      </c>
      <c r="C76" s="29" t="s">
        <v>735</v>
      </c>
      <c r="D76" s="30" t="s">
        <v>736</v>
      </c>
      <c r="E76" s="31" t="s">
        <v>6</v>
      </c>
      <c r="F76" s="31" t="s">
        <v>11</v>
      </c>
      <c r="G76" s="31" t="s">
        <v>13</v>
      </c>
      <c r="H76" s="37"/>
    </row>
    <row r="77" spans="1:8" ht="15.75" customHeight="1" x14ac:dyDescent="0.25">
      <c r="A77" s="16">
        <v>23</v>
      </c>
      <c r="B77" s="28">
        <v>10199</v>
      </c>
      <c r="C77" s="29" t="s">
        <v>953</v>
      </c>
      <c r="D77" s="30" t="s">
        <v>954</v>
      </c>
      <c r="E77" s="31" t="s">
        <v>6</v>
      </c>
      <c r="F77" s="31" t="s">
        <v>11</v>
      </c>
      <c r="G77" s="31" t="s">
        <v>13</v>
      </c>
      <c r="H77" s="37"/>
    </row>
    <row r="78" spans="1:8" ht="15.75" customHeight="1" x14ac:dyDescent="0.25">
      <c r="A78" s="16">
        <v>24</v>
      </c>
      <c r="B78" s="28">
        <v>10200</v>
      </c>
      <c r="C78" s="29" t="s">
        <v>589</v>
      </c>
      <c r="D78" s="30" t="s">
        <v>590</v>
      </c>
      <c r="E78" s="31" t="s">
        <v>5</v>
      </c>
      <c r="F78" s="31" t="s">
        <v>49</v>
      </c>
      <c r="G78" s="31" t="s">
        <v>13</v>
      </c>
      <c r="H78" s="37"/>
    </row>
    <row r="79" spans="1:8" ht="15.75" customHeight="1" x14ac:dyDescent="0.25">
      <c r="A79" s="16">
        <v>25</v>
      </c>
      <c r="B79" s="28">
        <v>10201</v>
      </c>
      <c r="C79" s="29" t="s">
        <v>591</v>
      </c>
      <c r="D79" s="30" t="s">
        <v>592</v>
      </c>
      <c r="E79" s="31" t="s">
        <v>6</v>
      </c>
      <c r="F79" s="31" t="s">
        <v>49</v>
      </c>
      <c r="G79" s="31" t="s">
        <v>13</v>
      </c>
      <c r="H79" s="37"/>
    </row>
    <row r="80" spans="1:8" ht="15.75" customHeight="1" x14ac:dyDescent="0.25">
      <c r="A80" s="16">
        <v>26</v>
      </c>
      <c r="B80" s="28">
        <v>10221</v>
      </c>
      <c r="C80" s="29" t="s">
        <v>745</v>
      </c>
      <c r="D80" s="30" t="s">
        <v>746</v>
      </c>
      <c r="E80" s="31" t="s">
        <v>5</v>
      </c>
      <c r="F80" s="31" t="s">
        <v>11</v>
      </c>
      <c r="G80" s="31" t="s">
        <v>13</v>
      </c>
      <c r="H80" s="37"/>
    </row>
    <row r="81" spans="1:8" ht="15.75" customHeight="1" x14ac:dyDescent="0.25">
      <c r="A81" s="16">
        <v>27</v>
      </c>
      <c r="B81" s="28">
        <v>10222</v>
      </c>
      <c r="C81" s="29" t="s">
        <v>883</v>
      </c>
      <c r="D81" s="30" t="s">
        <v>884</v>
      </c>
      <c r="E81" s="31" t="s">
        <v>5</v>
      </c>
      <c r="F81" s="31" t="s">
        <v>11</v>
      </c>
      <c r="G81" s="31" t="s">
        <v>13</v>
      </c>
      <c r="H81" s="37"/>
    </row>
    <row r="82" spans="1:8" ht="15.75" customHeight="1" x14ac:dyDescent="0.25">
      <c r="A82" s="16">
        <v>28</v>
      </c>
      <c r="B82" s="28">
        <v>10230</v>
      </c>
      <c r="C82" s="29" t="s">
        <v>601</v>
      </c>
      <c r="D82" s="30" t="s">
        <v>602</v>
      </c>
      <c r="E82" s="31" t="s">
        <v>6</v>
      </c>
      <c r="F82" s="31" t="s">
        <v>11</v>
      </c>
      <c r="G82" s="31" t="s">
        <v>13</v>
      </c>
      <c r="H82" s="37"/>
    </row>
    <row r="83" spans="1:8" ht="15.75" customHeight="1" x14ac:dyDescent="0.25">
      <c r="A83" s="16">
        <v>29</v>
      </c>
      <c r="B83" s="28">
        <v>10232</v>
      </c>
      <c r="C83" s="29" t="s">
        <v>887</v>
      </c>
      <c r="D83" s="30" t="s">
        <v>888</v>
      </c>
      <c r="E83" s="31" t="s">
        <v>6</v>
      </c>
      <c r="F83" s="31" t="s">
        <v>11</v>
      </c>
      <c r="G83" s="31" t="s">
        <v>13</v>
      </c>
      <c r="H83" s="37"/>
    </row>
    <row r="84" spans="1:8" ht="15.75" customHeight="1" x14ac:dyDescent="0.25">
      <c r="A84" s="16">
        <v>30</v>
      </c>
      <c r="B84" s="28">
        <v>10233</v>
      </c>
      <c r="C84" s="29" t="s">
        <v>813</v>
      </c>
      <c r="D84" s="30" t="s">
        <v>814</v>
      </c>
      <c r="E84" s="31" t="s">
        <v>6</v>
      </c>
      <c r="F84" s="31" t="s">
        <v>11</v>
      </c>
      <c r="G84" s="31" t="s">
        <v>14</v>
      </c>
      <c r="H84" s="37"/>
    </row>
    <row r="85" spans="1:8" ht="15.75" customHeight="1" x14ac:dyDescent="0.25">
      <c r="A85" s="16">
        <v>31</v>
      </c>
      <c r="B85" s="28">
        <v>10241</v>
      </c>
      <c r="C85" s="29" t="s">
        <v>1027</v>
      </c>
      <c r="D85" s="30" t="s">
        <v>1028</v>
      </c>
      <c r="E85" s="31" t="s">
        <v>6</v>
      </c>
      <c r="F85" s="31" t="s">
        <v>11</v>
      </c>
      <c r="G85" s="31" t="s">
        <v>14</v>
      </c>
      <c r="H85" s="37"/>
    </row>
    <row r="86" spans="1:8" ht="15.75" customHeight="1" x14ac:dyDescent="0.25">
      <c r="A86" s="16">
        <v>32</v>
      </c>
      <c r="B86" s="28">
        <v>10242</v>
      </c>
      <c r="C86" s="29" t="s">
        <v>1029</v>
      </c>
      <c r="D86" s="30" t="s">
        <v>1030</v>
      </c>
      <c r="E86" s="31" t="s">
        <v>6</v>
      </c>
      <c r="F86" s="31" t="s">
        <v>11</v>
      </c>
      <c r="G86" s="31" t="s">
        <v>14</v>
      </c>
      <c r="H86" s="37"/>
    </row>
    <row r="87" spans="1:8" ht="15.75" customHeight="1" x14ac:dyDescent="0.25">
      <c r="A87" s="16">
        <v>33</v>
      </c>
      <c r="B87" s="28">
        <v>10245</v>
      </c>
      <c r="C87" s="29" t="s">
        <v>891</v>
      </c>
      <c r="D87" s="30" t="s">
        <v>892</v>
      </c>
      <c r="E87" s="31" t="s">
        <v>6</v>
      </c>
      <c r="F87" s="31" t="s">
        <v>11</v>
      </c>
      <c r="G87" s="31" t="s">
        <v>13</v>
      </c>
      <c r="H87" s="37"/>
    </row>
    <row r="88" spans="1:8" ht="15.75" customHeight="1" x14ac:dyDescent="0.25">
      <c r="A88" s="16">
        <v>34</v>
      </c>
      <c r="B88" s="28">
        <v>10252</v>
      </c>
      <c r="C88" s="29" t="s">
        <v>967</v>
      </c>
      <c r="D88" s="30" t="s">
        <v>968</v>
      </c>
      <c r="E88" s="31" t="s">
        <v>5</v>
      </c>
      <c r="F88" s="31" t="s">
        <v>11</v>
      </c>
      <c r="G88" s="31" t="s">
        <v>13</v>
      </c>
      <c r="H88" s="37"/>
    </row>
    <row r="89" spans="1:8" ht="15.75" customHeight="1" x14ac:dyDescent="0.25">
      <c r="A89" s="16">
        <v>35</v>
      </c>
      <c r="B89" s="28">
        <v>10253</v>
      </c>
      <c r="C89" s="29" t="s">
        <v>675</v>
      </c>
      <c r="D89" s="30" t="s">
        <v>676</v>
      </c>
      <c r="E89" s="31" t="s">
        <v>6</v>
      </c>
      <c r="F89" s="31" t="s">
        <v>11</v>
      </c>
      <c r="G89" s="31" t="s">
        <v>13</v>
      </c>
      <c r="H89" s="37"/>
    </row>
    <row r="90" spans="1:8" ht="15.75" customHeight="1" x14ac:dyDescent="0.25">
      <c r="A90" s="16">
        <v>36</v>
      </c>
      <c r="B90" s="28">
        <v>10259</v>
      </c>
      <c r="C90" s="29" t="s">
        <v>819</v>
      </c>
      <c r="D90" s="30" t="s">
        <v>820</v>
      </c>
      <c r="E90" s="31" t="s">
        <v>6</v>
      </c>
      <c r="F90" s="31" t="s">
        <v>11</v>
      </c>
      <c r="G90" s="31" t="s">
        <v>14</v>
      </c>
      <c r="H90" s="37"/>
    </row>
    <row r="91" spans="1:8" ht="15.75" customHeight="1" x14ac:dyDescent="0.2">
      <c r="A91" s="3" t="s">
        <v>5</v>
      </c>
      <c r="B91" s="3">
        <f>COUNTIF(E55:E90,A91)</f>
        <v>10</v>
      </c>
      <c r="C91" s="1" t="s">
        <v>8</v>
      </c>
      <c r="D91" s="6" t="s">
        <v>11</v>
      </c>
      <c r="E91" s="3">
        <f>COUNTIF(F55:F90,D91)</f>
        <v>34</v>
      </c>
      <c r="F91" s="3"/>
      <c r="G91" s="7"/>
      <c r="H91" s="9"/>
    </row>
    <row r="92" spans="1:8" ht="15.75" customHeight="1" x14ac:dyDescent="0.2">
      <c r="A92" s="3" t="s">
        <v>6</v>
      </c>
      <c r="B92" s="5">
        <f>COUNTIF(E55:E90,A92)</f>
        <v>26</v>
      </c>
      <c r="C92" s="1" t="s">
        <v>8</v>
      </c>
      <c r="D92" s="6" t="s">
        <v>49</v>
      </c>
      <c r="E92" s="3">
        <f>COUNTIF(F55:F90,D92)</f>
        <v>2</v>
      </c>
      <c r="F92" s="3"/>
      <c r="G92" s="7"/>
      <c r="H92" s="9"/>
    </row>
    <row r="93" spans="1:8" ht="15.75" customHeight="1" x14ac:dyDescent="0.2">
      <c r="A93" s="3" t="s">
        <v>7</v>
      </c>
      <c r="B93" s="3">
        <f>B91+B92</f>
        <v>36</v>
      </c>
      <c r="C93" s="1" t="s">
        <v>8</v>
      </c>
      <c r="D93" s="6" t="s">
        <v>12</v>
      </c>
      <c r="E93" s="3">
        <f>COUNTIF(F55:F90,D93)</f>
        <v>0</v>
      </c>
      <c r="F93" s="3"/>
      <c r="G93" s="7"/>
      <c r="H93" s="9"/>
    </row>
    <row r="94" spans="1:8" ht="15.75" customHeight="1" x14ac:dyDescent="0.2">
      <c r="D94" s="40" t="s">
        <v>13</v>
      </c>
      <c r="E94" s="41">
        <f>COUNTIF(G55:G90,D94)</f>
        <v>26</v>
      </c>
      <c r="F94" s="3"/>
      <c r="G94" s="7"/>
      <c r="H94" s="9"/>
    </row>
    <row r="95" spans="1:8" ht="15.75" customHeight="1" x14ac:dyDescent="0.2">
      <c r="D95" s="40" t="s">
        <v>14</v>
      </c>
      <c r="E95" s="41">
        <f>COUNTIF(G55:G90,D95)</f>
        <v>10</v>
      </c>
      <c r="F95" s="3"/>
      <c r="G95" s="7"/>
      <c r="H95" s="9"/>
    </row>
    <row r="96" spans="1:8" ht="15.75" customHeight="1" x14ac:dyDescent="0.2">
      <c r="A96" s="10" t="s">
        <v>1082</v>
      </c>
      <c r="B96" s="10"/>
      <c r="C96" s="10"/>
      <c r="D96" s="19"/>
      <c r="E96" s="8"/>
      <c r="F96" s="8"/>
      <c r="G96" s="7"/>
    </row>
    <row r="97" spans="1:7" ht="15.75" customHeight="1" x14ac:dyDescent="0.2">
      <c r="A97" s="88" t="s">
        <v>0</v>
      </c>
      <c r="B97" s="89"/>
      <c r="C97" s="89"/>
      <c r="D97" s="90" t="s">
        <v>1</v>
      </c>
      <c r="E97" s="92" t="s">
        <v>9</v>
      </c>
      <c r="F97" s="86" t="s">
        <v>10</v>
      </c>
      <c r="G97" s="96" t="s">
        <v>48</v>
      </c>
    </row>
    <row r="98" spans="1:7" ht="15.75" customHeight="1" x14ac:dyDescent="0.2">
      <c r="A98" s="20" t="s">
        <v>2</v>
      </c>
      <c r="B98" s="20" t="s">
        <v>3</v>
      </c>
      <c r="C98" s="21" t="s">
        <v>4</v>
      </c>
      <c r="D98" s="91"/>
      <c r="E98" s="93"/>
      <c r="F98" s="87"/>
      <c r="G98" s="97"/>
    </row>
    <row r="99" spans="1:7" ht="15.75" customHeight="1" x14ac:dyDescent="0.25">
      <c r="A99" s="16">
        <v>1</v>
      </c>
      <c r="B99" s="28">
        <v>10018</v>
      </c>
      <c r="C99" s="29" t="s">
        <v>541</v>
      </c>
      <c r="D99" s="30" t="s">
        <v>542</v>
      </c>
      <c r="E99" s="31" t="s">
        <v>5</v>
      </c>
      <c r="F99" s="31" t="s">
        <v>11</v>
      </c>
      <c r="G99" s="31" t="s">
        <v>14</v>
      </c>
    </row>
    <row r="100" spans="1:7" ht="15.75" customHeight="1" x14ac:dyDescent="0.25">
      <c r="A100" s="16">
        <v>2</v>
      </c>
      <c r="B100" s="28">
        <v>10019</v>
      </c>
      <c r="C100" s="29" t="s">
        <v>825</v>
      </c>
      <c r="D100" s="30" t="s">
        <v>826</v>
      </c>
      <c r="E100" s="31" t="s">
        <v>6</v>
      </c>
      <c r="F100" s="31" t="s">
        <v>11</v>
      </c>
      <c r="G100" s="31" t="s">
        <v>13</v>
      </c>
    </row>
    <row r="101" spans="1:7" ht="15.75" customHeight="1" x14ac:dyDescent="0.25">
      <c r="A101" s="16">
        <v>3</v>
      </c>
      <c r="B101" s="28">
        <v>10023</v>
      </c>
      <c r="C101" s="29" t="s">
        <v>897</v>
      </c>
      <c r="D101" s="32" t="s">
        <v>898</v>
      </c>
      <c r="E101" s="31" t="s">
        <v>5</v>
      </c>
      <c r="F101" s="31" t="s">
        <v>11</v>
      </c>
      <c r="G101" s="31" t="s">
        <v>13</v>
      </c>
    </row>
    <row r="102" spans="1:7" ht="15.75" customHeight="1" x14ac:dyDescent="0.25">
      <c r="A102" s="16">
        <v>4</v>
      </c>
      <c r="B102" s="28">
        <v>10025</v>
      </c>
      <c r="C102" s="29" t="s">
        <v>687</v>
      </c>
      <c r="D102" s="30" t="s">
        <v>688</v>
      </c>
      <c r="E102" s="31" t="s">
        <v>6</v>
      </c>
      <c r="F102" s="31" t="s">
        <v>11</v>
      </c>
      <c r="G102" s="31" t="s">
        <v>13</v>
      </c>
    </row>
    <row r="103" spans="1:7" ht="15.75" customHeight="1" x14ac:dyDescent="0.25">
      <c r="A103" s="16">
        <v>5</v>
      </c>
      <c r="B103" s="28">
        <v>10029</v>
      </c>
      <c r="C103" s="29" t="s">
        <v>757</v>
      </c>
      <c r="D103" s="30" t="s">
        <v>758</v>
      </c>
      <c r="E103" s="31" t="s">
        <v>5</v>
      </c>
      <c r="F103" s="31" t="s">
        <v>11</v>
      </c>
      <c r="G103" s="31" t="s">
        <v>14</v>
      </c>
    </row>
    <row r="104" spans="1:7" ht="15.75" customHeight="1" x14ac:dyDescent="0.25">
      <c r="A104" s="16">
        <v>6</v>
      </c>
      <c r="B104" s="28">
        <v>10034</v>
      </c>
      <c r="C104" s="29" t="s">
        <v>615</v>
      </c>
      <c r="D104" s="30" t="s">
        <v>616</v>
      </c>
      <c r="E104" s="31" t="s">
        <v>5</v>
      </c>
      <c r="F104" s="31" t="s">
        <v>11</v>
      </c>
      <c r="G104" s="31" t="s">
        <v>14</v>
      </c>
    </row>
    <row r="105" spans="1:7" ht="15.75" customHeight="1" x14ac:dyDescent="0.25">
      <c r="A105" s="16">
        <v>7</v>
      </c>
      <c r="B105" s="28">
        <v>10051</v>
      </c>
      <c r="C105" s="29" t="s">
        <v>841</v>
      </c>
      <c r="D105" s="30" t="s">
        <v>842</v>
      </c>
      <c r="E105" s="31" t="s">
        <v>6</v>
      </c>
      <c r="F105" s="31" t="s">
        <v>11</v>
      </c>
      <c r="G105" s="31" t="s">
        <v>13</v>
      </c>
    </row>
    <row r="106" spans="1:7" ht="15.75" customHeight="1" x14ac:dyDescent="0.25">
      <c r="A106" s="16">
        <v>8</v>
      </c>
      <c r="B106" s="28">
        <v>10060</v>
      </c>
      <c r="C106" s="29" t="s">
        <v>765</v>
      </c>
      <c r="D106" s="30" t="s">
        <v>766</v>
      </c>
      <c r="E106" s="31" t="s">
        <v>6</v>
      </c>
      <c r="F106" s="31" t="s">
        <v>11</v>
      </c>
      <c r="G106" s="31" t="s">
        <v>14</v>
      </c>
    </row>
    <row r="107" spans="1:7" ht="15.75" customHeight="1" x14ac:dyDescent="0.25">
      <c r="A107" s="16">
        <v>9</v>
      </c>
      <c r="B107" s="28">
        <v>10080</v>
      </c>
      <c r="C107" s="29" t="s">
        <v>851</v>
      </c>
      <c r="D107" s="30" t="s">
        <v>852</v>
      </c>
      <c r="E107" s="31" t="s">
        <v>5</v>
      </c>
      <c r="F107" s="31" t="s">
        <v>11</v>
      </c>
      <c r="G107" s="31" t="s">
        <v>13</v>
      </c>
    </row>
    <row r="108" spans="1:7" ht="15.75" customHeight="1" x14ac:dyDescent="0.25">
      <c r="A108" s="16">
        <v>10</v>
      </c>
      <c r="B108" s="28">
        <v>10083</v>
      </c>
      <c r="C108" s="29" t="s">
        <v>555</v>
      </c>
      <c r="D108" s="30" t="s">
        <v>556</v>
      </c>
      <c r="E108" s="31" t="s">
        <v>6</v>
      </c>
      <c r="F108" s="31" t="s">
        <v>11</v>
      </c>
      <c r="G108" s="31" t="s">
        <v>13</v>
      </c>
    </row>
    <row r="109" spans="1:7" ht="15.75" customHeight="1" x14ac:dyDescent="0.25">
      <c r="A109" s="16">
        <v>11</v>
      </c>
      <c r="B109" s="28">
        <v>10095</v>
      </c>
      <c r="C109" s="29" t="s">
        <v>769</v>
      </c>
      <c r="D109" s="30" t="s">
        <v>770</v>
      </c>
      <c r="E109" s="31" t="s">
        <v>6</v>
      </c>
      <c r="F109" s="31" t="s">
        <v>11</v>
      </c>
      <c r="G109" s="31" t="s">
        <v>14</v>
      </c>
    </row>
    <row r="110" spans="1:7" ht="15.75" customHeight="1" x14ac:dyDescent="0.25">
      <c r="A110" s="16">
        <v>12</v>
      </c>
      <c r="B110" s="28">
        <v>10096</v>
      </c>
      <c r="C110" s="29" t="s">
        <v>771</v>
      </c>
      <c r="D110" s="30" t="s">
        <v>772</v>
      </c>
      <c r="E110" s="31" t="s">
        <v>5</v>
      </c>
      <c r="F110" s="31" t="s">
        <v>11</v>
      </c>
      <c r="G110" s="31" t="s">
        <v>14</v>
      </c>
    </row>
    <row r="111" spans="1:7" ht="15.75" customHeight="1" x14ac:dyDescent="0.25">
      <c r="A111" s="16">
        <v>13</v>
      </c>
      <c r="B111" s="28">
        <v>10110</v>
      </c>
      <c r="C111" s="29" t="s">
        <v>989</v>
      </c>
      <c r="D111" s="30" t="s">
        <v>990</v>
      </c>
      <c r="E111" s="31" t="s">
        <v>5</v>
      </c>
      <c r="F111" s="31" t="s">
        <v>11</v>
      </c>
      <c r="G111" s="31" t="s">
        <v>14</v>
      </c>
    </row>
    <row r="112" spans="1:7" ht="15.75" customHeight="1" x14ac:dyDescent="0.25">
      <c r="A112" s="16">
        <v>14</v>
      </c>
      <c r="B112" s="28">
        <v>10112</v>
      </c>
      <c r="C112" s="38" t="s">
        <v>777</v>
      </c>
      <c r="D112" s="17" t="s">
        <v>778</v>
      </c>
      <c r="E112" s="18" t="s">
        <v>6</v>
      </c>
      <c r="F112" s="31" t="s">
        <v>11</v>
      </c>
      <c r="G112" s="31" t="s">
        <v>14</v>
      </c>
    </row>
    <row r="113" spans="1:7" ht="15.75" customHeight="1" x14ac:dyDescent="0.25">
      <c r="A113" s="16">
        <v>15</v>
      </c>
      <c r="B113" s="28">
        <v>10127</v>
      </c>
      <c r="C113" s="29" t="s">
        <v>785</v>
      </c>
      <c r="D113" s="30" t="s">
        <v>786</v>
      </c>
      <c r="E113" s="31" t="s">
        <v>6</v>
      </c>
      <c r="F113" s="31" t="s">
        <v>11</v>
      </c>
      <c r="G113" s="31" t="s">
        <v>14</v>
      </c>
    </row>
    <row r="114" spans="1:7" ht="15.75" customHeight="1" x14ac:dyDescent="0.25">
      <c r="A114" s="16">
        <v>16</v>
      </c>
      <c r="B114" s="28">
        <v>10131</v>
      </c>
      <c r="C114" s="29" t="s">
        <v>997</v>
      </c>
      <c r="D114" s="30" t="s">
        <v>998</v>
      </c>
      <c r="E114" s="31" t="s">
        <v>5</v>
      </c>
      <c r="F114" s="31" t="s">
        <v>11</v>
      </c>
      <c r="G114" s="31" t="s">
        <v>14</v>
      </c>
    </row>
    <row r="115" spans="1:7" ht="15.75" customHeight="1" x14ac:dyDescent="0.25">
      <c r="A115" s="16">
        <v>17</v>
      </c>
      <c r="B115" s="28">
        <v>10146</v>
      </c>
      <c r="C115" s="29" t="s">
        <v>637</v>
      </c>
      <c r="D115" s="30" t="s">
        <v>638</v>
      </c>
      <c r="E115" s="31" t="s">
        <v>5</v>
      </c>
      <c r="F115" s="31" t="s">
        <v>12</v>
      </c>
      <c r="G115" s="31" t="s">
        <v>13</v>
      </c>
    </row>
    <row r="116" spans="1:7" ht="15.75" customHeight="1" x14ac:dyDescent="0.25">
      <c r="A116" s="16">
        <v>18</v>
      </c>
      <c r="B116" s="28">
        <v>10148</v>
      </c>
      <c r="C116" s="29" t="s">
        <v>1001</v>
      </c>
      <c r="D116" s="30" t="s">
        <v>1002</v>
      </c>
      <c r="E116" s="31" t="s">
        <v>5</v>
      </c>
      <c r="F116" s="31" t="s">
        <v>11</v>
      </c>
      <c r="G116" s="31" t="s">
        <v>14</v>
      </c>
    </row>
    <row r="117" spans="1:7" ht="15.75" customHeight="1" x14ac:dyDescent="0.25">
      <c r="A117" s="16">
        <v>19</v>
      </c>
      <c r="B117" s="28">
        <v>10158</v>
      </c>
      <c r="C117" s="29" t="s">
        <v>729</v>
      </c>
      <c r="D117" s="30" t="s">
        <v>730</v>
      </c>
      <c r="E117" s="31" t="s">
        <v>6</v>
      </c>
      <c r="F117" s="31" t="s">
        <v>11</v>
      </c>
      <c r="G117" s="31" t="s">
        <v>13</v>
      </c>
    </row>
    <row r="118" spans="1:7" ht="15.75" customHeight="1" x14ac:dyDescent="0.25">
      <c r="A118" s="16">
        <v>20</v>
      </c>
      <c r="B118" s="28">
        <v>10162</v>
      </c>
      <c r="C118" s="29" t="s">
        <v>649</v>
      </c>
      <c r="D118" s="30" t="s">
        <v>650</v>
      </c>
      <c r="E118" s="31" t="s">
        <v>5</v>
      </c>
      <c r="F118" s="31" t="s">
        <v>11</v>
      </c>
      <c r="G118" s="31" t="s">
        <v>13</v>
      </c>
    </row>
    <row r="119" spans="1:7" ht="15.75" customHeight="1" x14ac:dyDescent="0.25">
      <c r="A119" s="16">
        <v>21</v>
      </c>
      <c r="B119" s="28">
        <v>10174</v>
      </c>
      <c r="C119" s="29" t="s">
        <v>651</v>
      </c>
      <c r="D119" s="30" t="s">
        <v>652</v>
      </c>
      <c r="E119" s="31" t="s">
        <v>6</v>
      </c>
      <c r="F119" s="31" t="s">
        <v>11</v>
      </c>
      <c r="G119" s="31" t="s">
        <v>13</v>
      </c>
    </row>
    <row r="120" spans="1:7" ht="15.75" customHeight="1" x14ac:dyDescent="0.25">
      <c r="A120" s="16">
        <v>22</v>
      </c>
      <c r="B120" s="28">
        <v>10181</v>
      </c>
      <c r="C120" s="29" t="s">
        <v>1011</v>
      </c>
      <c r="D120" s="30" t="s">
        <v>1012</v>
      </c>
      <c r="E120" s="31" t="s">
        <v>6</v>
      </c>
      <c r="F120" s="31" t="s">
        <v>11</v>
      </c>
      <c r="G120" s="31" t="s">
        <v>14</v>
      </c>
    </row>
    <row r="121" spans="1:7" ht="15.75" customHeight="1" x14ac:dyDescent="0.25">
      <c r="A121" s="16">
        <v>23</v>
      </c>
      <c r="B121" s="28">
        <v>10183</v>
      </c>
      <c r="C121" s="29" t="s">
        <v>657</v>
      </c>
      <c r="D121" s="30" t="s">
        <v>658</v>
      </c>
      <c r="E121" s="31" t="s">
        <v>5</v>
      </c>
      <c r="F121" s="31" t="s">
        <v>11</v>
      </c>
      <c r="G121" s="31" t="s">
        <v>14</v>
      </c>
    </row>
    <row r="122" spans="1:7" ht="15.75" customHeight="1" x14ac:dyDescent="0.25">
      <c r="A122" s="16">
        <v>24</v>
      </c>
      <c r="B122" s="28">
        <v>10187</v>
      </c>
      <c r="C122" s="29" t="s">
        <v>585</v>
      </c>
      <c r="D122" s="32" t="s">
        <v>586</v>
      </c>
      <c r="E122" s="31" t="s">
        <v>5</v>
      </c>
      <c r="F122" s="31" t="s">
        <v>49</v>
      </c>
      <c r="G122" s="31" t="s">
        <v>14</v>
      </c>
    </row>
    <row r="123" spans="1:7" ht="15.75" customHeight="1" x14ac:dyDescent="0.25">
      <c r="A123" s="16">
        <v>25</v>
      </c>
      <c r="B123" s="28">
        <v>10191</v>
      </c>
      <c r="C123" s="29" t="s">
        <v>1013</v>
      </c>
      <c r="D123" s="30" t="s">
        <v>1014</v>
      </c>
      <c r="E123" s="31" t="s">
        <v>6</v>
      </c>
      <c r="F123" s="31" t="s">
        <v>11</v>
      </c>
      <c r="G123" s="31" t="s">
        <v>14</v>
      </c>
    </row>
    <row r="124" spans="1:7" ht="15.75" customHeight="1" x14ac:dyDescent="0.25">
      <c r="A124" s="16">
        <v>26</v>
      </c>
      <c r="B124" s="28">
        <v>10202</v>
      </c>
      <c r="C124" s="29" t="s">
        <v>739</v>
      </c>
      <c r="D124" s="30" t="s">
        <v>740</v>
      </c>
      <c r="E124" s="31" t="s">
        <v>6</v>
      </c>
      <c r="F124" s="31" t="s">
        <v>11</v>
      </c>
      <c r="G124" s="31" t="s">
        <v>13</v>
      </c>
    </row>
    <row r="125" spans="1:7" ht="15.75" customHeight="1" x14ac:dyDescent="0.25">
      <c r="A125" s="16">
        <v>27</v>
      </c>
      <c r="B125" s="28">
        <v>10204</v>
      </c>
      <c r="C125" s="29" t="s">
        <v>799</v>
      </c>
      <c r="D125" s="30" t="s">
        <v>800</v>
      </c>
      <c r="E125" s="31" t="s">
        <v>5</v>
      </c>
      <c r="F125" s="31" t="s">
        <v>11</v>
      </c>
      <c r="G125" s="31" t="s">
        <v>14</v>
      </c>
    </row>
    <row r="126" spans="1:7" ht="15.75" customHeight="1" x14ac:dyDescent="0.25">
      <c r="A126" s="16">
        <v>28</v>
      </c>
      <c r="B126" s="28">
        <v>10212</v>
      </c>
      <c r="C126" s="29" t="s">
        <v>593</v>
      </c>
      <c r="D126" s="30" t="s">
        <v>594</v>
      </c>
      <c r="E126" s="31" t="s">
        <v>5</v>
      </c>
      <c r="F126" s="31" t="s">
        <v>11</v>
      </c>
      <c r="G126" s="31" t="s">
        <v>13</v>
      </c>
    </row>
    <row r="127" spans="1:7" ht="15.75" customHeight="1" x14ac:dyDescent="0.25">
      <c r="A127" s="16">
        <v>29</v>
      </c>
      <c r="B127" s="28">
        <v>10218</v>
      </c>
      <c r="C127" s="29" t="s">
        <v>807</v>
      </c>
      <c r="D127" s="30" t="s">
        <v>808</v>
      </c>
      <c r="E127" s="31" t="s">
        <v>5</v>
      </c>
      <c r="F127" s="31" t="s">
        <v>11</v>
      </c>
      <c r="G127" s="31" t="s">
        <v>14</v>
      </c>
    </row>
    <row r="128" spans="1:7" ht="15.75" customHeight="1" x14ac:dyDescent="0.25">
      <c r="A128" s="16">
        <v>30</v>
      </c>
      <c r="B128" s="28">
        <v>10219</v>
      </c>
      <c r="C128" s="29" t="s">
        <v>957</v>
      </c>
      <c r="D128" s="30" t="s">
        <v>958</v>
      </c>
      <c r="E128" s="31" t="s">
        <v>5</v>
      </c>
      <c r="F128" s="31" t="s">
        <v>11</v>
      </c>
      <c r="G128" s="31" t="s">
        <v>13</v>
      </c>
    </row>
    <row r="129" spans="1:8" ht="15.75" customHeight="1" x14ac:dyDescent="0.25">
      <c r="A129" s="16">
        <v>31</v>
      </c>
      <c r="B129" s="28">
        <v>10220</v>
      </c>
      <c r="C129" s="29" t="s">
        <v>667</v>
      </c>
      <c r="D129" s="30" t="s">
        <v>668</v>
      </c>
      <c r="E129" s="31" t="s">
        <v>5</v>
      </c>
      <c r="F129" s="31" t="s">
        <v>12</v>
      </c>
      <c r="G129" s="31" t="s">
        <v>13</v>
      </c>
    </row>
    <row r="130" spans="1:8" ht="15.75" customHeight="1" x14ac:dyDescent="0.25">
      <c r="A130" s="16">
        <v>32</v>
      </c>
      <c r="B130" s="28">
        <v>10223</v>
      </c>
      <c r="C130" s="29" t="s">
        <v>597</v>
      </c>
      <c r="D130" s="30" t="s">
        <v>598</v>
      </c>
      <c r="E130" s="31" t="s">
        <v>6</v>
      </c>
      <c r="F130" s="31" t="s">
        <v>49</v>
      </c>
      <c r="G130" s="31" t="s">
        <v>14</v>
      </c>
    </row>
    <row r="131" spans="1:8" ht="15.75" customHeight="1" x14ac:dyDescent="0.25">
      <c r="A131" s="16">
        <v>33</v>
      </c>
      <c r="B131" s="28">
        <v>10225</v>
      </c>
      <c r="C131" s="29" t="s">
        <v>809</v>
      </c>
      <c r="D131" s="30" t="s">
        <v>810</v>
      </c>
      <c r="E131" s="31" t="s">
        <v>5</v>
      </c>
      <c r="F131" s="31" t="s">
        <v>11</v>
      </c>
      <c r="G131" s="31" t="s">
        <v>14</v>
      </c>
    </row>
    <row r="132" spans="1:8" ht="15.75" customHeight="1" x14ac:dyDescent="0.25">
      <c r="A132" s="16">
        <v>34</v>
      </c>
      <c r="B132" s="28">
        <v>10240</v>
      </c>
      <c r="C132" s="29" t="s">
        <v>669</v>
      </c>
      <c r="D132" s="30" t="s">
        <v>670</v>
      </c>
      <c r="E132" s="31" t="s">
        <v>6</v>
      </c>
      <c r="F132" s="31" t="s">
        <v>11</v>
      </c>
      <c r="G132" s="31" t="s">
        <v>13</v>
      </c>
    </row>
    <row r="133" spans="1:8" ht="15.75" customHeight="1" x14ac:dyDescent="0.25">
      <c r="A133" s="16">
        <v>35</v>
      </c>
      <c r="B133" s="28">
        <v>10249</v>
      </c>
      <c r="C133" s="29" t="s">
        <v>673</v>
      </c>
      <c r="D133" s="30" t="s">
        <v>674</v>
      </c>
      <c r="E133" s="31" t="s">
        <v>6</v>
      </c>
      <c r="F133" s="31" t="s">
        <v>12</v>
      </c>
      <c r="G133" s="31" t="s">
        <v>13</v>
      </c>
    </row>
    <row r="134" spans="1:8" ht="15.75" customHeight="1" x14ac:dyDescent="0.25">
      <c r="A134" s="16">
        <v>36</v>
      </c>
      <c r="B134" s="33">
        <v>10265</v>
      </c>
      <c r="C134" s="34" t="s">
        <v>609</v>
      </c>
      <c r="D134" s="35" t="s">
        <v>610</v>
      </c>
      <c r="E134" s="36" t="s">
        <v>5</v>
      </c>
      <c r="F134" s="36" t="s">
        <v>49</v>
      </c>
      <c r="G134" s="31" t="s">
        <v>14</v>
      </c>
    </row>
    <row r="135" spans="1:8" ht="15.75" customHeight="1" x14ac:dyDescent="0.2">
      <c r="A135" s="3" t="s">
        <v>5</v>
      </c>
      <c r="B135" s="3">
        <f>COUNTIF(E99:E134,A135)</f>
        <v>20</v>
      </c>
      <c r="C135" s="1" t="s">
        <v>8</v>
      </c>
      <c r="D135" s="6" t="s">
        <v>11</v>
      </c>
      <c r="E135" s="3">
        <f>COUNTIF(F99:F134,D135)</f>
        <v>30</v>
      </c>
      <c r="F135" s="3"/>
      <c r="G135" s="7"/>
      <c r="H135" s="9"/>
    </row>
    <row r="136" spans="1:8" ht="15.75" customHeight="1" x14ac:dyDescent="0.2">
      <c r="A136" s="3" t="s">
        <v>6</v>
      </c>
      <c r="B136" s="5">
        <f>COUNTIF(E99:E134,A136)</f>
        <v>16</v>
      </c>
      <c r="C136" s="1" t="s">
        <v>8</v>
      </c>
      <c r="D136" s="6" t="s">
        <v>49</v>
      </c>
      <c r="E136" s="3">
        <f>COUNTIF(F99:F134,D136)</f>
        <v>3</v>
      </c>
      <c r="F136" s="3"/>
      <c r="G136" s="7"/>
      <c r="H136" s="9"/>
    </row>
    <row r="137" spans="1:8" ht="15.75" customHeight="1" x14ac:dyDescent="0.2">
      <c r="A137" s="3" t="s">
        <v>7</v>
      </c>
      <c r="B137" s="3">
        <f>B135+B136</f>
        <v>36</v>
      </c>
      <c r="C137" s="1" t="s">
        <v>8</v>
      </c>
      <c r="D137" s="6" t="s">
        <v>12</v>
      </c>
      <c r="E137" s="3">
        <f>COUNTIF(F99:F134,D137)</f>
        <v>3</v>
      </c>
      <c r="F137" s="3"/>
      <c r="G137" s="7"/>
      <c r="H137" s="9"/>
    </row>
    <row r="138" spans="1:8" ht="15.75" customHeight="1" x14ac:dyDescent="0.2">
      <c r="D138" s="40" t="s">
        <v>13</v>
      </c>
      <c r="E138" s="41">
        <f>COUNTIF(G99:G134,D138)</f>
        <v>16</v>
      </c>
      <c r="F138" s="3"/>
      <c r="G138" s="7"/>
      <c r="H138" s="9"/>
    </row>
    <row r="139" spans="1:8" ht="15.75" customHeight="1" x14ac:dyDescent="0.2">
      <c r="D139" s="40" t="s">
        <v>14</v>
      </c>
      <c r="E139" s="41">
        <f>COUNTIF(G99:G134,D139)</f>
        <v>20</v>
      </c>
      <c r="F139" s="3"/>
      <c r="G139" s="7"/>
      <c r="H139" s="9"/>
    </row>
    <row r="140" spans="1:8" ht="15.75" customHeight="1" x14ac:dyDescent="0.2">
      <c r="A140" s="10" t="s">
        <v>1083</v>
      </c>
      <c r="B140" s="10"/>
      <c r="C140" s="10"/>
      <c r="D140" s="19"/>
      <c r="E140" s="8"/>
      <c r="F140" s="8"/>
      <c r="G140" s="7"/>
    </row>
    <row r="141" spans="1:8" ht="15.75" customHeight="1" x14ac:dyDescent="0.2">
      <c r="A141" s="88" t="s">
        <v>0</v>
      </c>
      <c r="B141" s="89"/>
      <c r="C141" s="89"/>
      <c r="D141" s="90" t="s">
        <v>1</v>
      </c>
      <c r="E141" s="92" t="s">
        <v>9</v>
      </c>
      <c r="F141" s="86" t="s">
        <v>10</v>
      </c>
      <c r="G141" s="96" t="s">
        <v>48</v>
      </c>
    </row>
    <row r="142" spans="1:8" ht="15.75" customHeight="1" x14ac:dyDescent="0.2">
      <c r="A142" s="20" t="s">
        <v>2</v>
      </c>
      <c r="B142" s="20" t="s">
        <v>3</v>
      </c>
      <c r="C142" s="21" t="s">
        <v>4</v>
      </c>
      <c r="D142" s="91"/>
      <c r="E142" s="93"/>
      <c r="F142" s="87"/>
      <c r="G142" s="97"/>
    </row>
    <row r="143" spans="1:8" ht="15.75" customHeight="1" x14ac:dyDescent="0.25">
      <c r="A143" s="16">
        <v>1</v>
      </c>
      <c r="B143" s="28">
        <v>10022</v>
      </c>
      <c r="C143" s="29" t="s">
        <v>827</v>
      </c>
      <c r="D143" s="32" t="s">
        <v>828</v>
      </c>
      <c r="E143" s="31" t="s">
        <v>5</v>
      </c>
      <c r="F143" s="31" t="s">
        <v>11</v>
      </c>
      <c r="G143" s="31" t="s">
        <v>13</v>
      </c>
    </row>
    <row r="144" spans="1:8" ht="15.75" customHeight="1" x14ac:dyDescent="0.25">
      <c r="A144" s="16">
        <v>2</v>
      </c>
      <c r="B144" s="28">
        <v>10030</v>
      </c>
      <c r="C144" s="29" t="s">
        <v>543</v>
      </c>
      <c r="D144" s="30" t="s">
        <v>544</v>
      </c>
      <c r="E144" s="31" t="s">
        <v>6</v>
      </c>
      <c r="F144" s="31" t="s">
        <v>11</v>
      </c>
      <c r="G144" s="31" t="s">
        <v>13</v>
      </c>
    </row>
    <row r="145" spans="1:7" ht="15.75" customHeight="1" x14ac:dyDescent="0.25">
      <c r="A145" s="16">
        <v>3</v>
      </c>
      <c r="B145" s="28">
        <v>10040</v>
      </c>
      <c r="C145" s="29" t="s">
        <v>617</v>
      </c>
      <c r="D145" s="30" t="s">
        <v>618</v>
      </c>
      <c r="E145" s="31" t="s">
        <v>6</v>
      </c>
      <c r="F145" s="31" t="s">
        <v>11</v>
      </c>
      <c r="G145" s="31" t="s">
        <v>13</v>
      </c>
    </row>
    <row r="146" spans="1:7" ht="15.75" customHeight="1" x14ac:dyDescent="0.25">
      <c r="A146" s="16">
        <v>4</v>
      </c>
      <c r="B146" s="28">
        <v>10063</v>
      </c>
      <c r="C146" s="29" t="s">
        <v>847</v>
      </c>
      <c r="D146" s="30" t="s">
        <v>848</v>
      </c>
      <c r="E146" s="31" t="s">
        <v>6</v>
      </c>
      <c r="F146" s="31" t="s">
        <v>11</v>
      </c>
      <c r="G146" s="31" t="s">
        <v>13</v>
      </c>
    </row>
    <row r="147" spans="1:7" ht="15.75" customHeight="1" x14ac:dyDescent="0.25">
      <c r="A147" s="16">
        <v>5</v>
      </c>
      <c r="B147" s="28">
        <v>10066</v>
      </c>
      <c r="C147" s="29" t="s">
        <v>909</v>
      </c>
      <c r="D147" s="32" t="s">
        <v>910</v>
      </c>
      <c r="E147" s="31" t="s">
        <v>6</v>
      </c>
      <c r="F147" s="31" t="s">
        <v>11</v>
      </c>
      <c r="G147" s="31" t="s">
        <v>13</v>
      </c>
    </row>
    <row r="148" spans="1:7" ht="15.75" customHeight="1" x14ac:dyDescent="0.25">
      <c r="A148" s="16">
        <v>6</v>
      </c>
      <c r="B148" s="28">
        <v>10067</v>
      </c>
      <c r="C148" s="29" t="s">
        <v>975</v>
      </c>
      <c r="D148" s="30" t="s">
        <v>976</v>
      </c>
      <c r="E148" s="31" t="s">
        <v>5</v>
      </c>
      <c r="F148" s="31" t="s">
        <v>11</v>
      </c>
      <c r="G148" s="31" t="s">
        <v>14</v>
      </c>
    </row>
    <row r="149" spans="1:7" ht="15.75" customHeight="1" x14ac:dyDescent="0.25">
      <c r="A149" s="16">
        <v>7</v>
      </c>
      <c r="B149" s="28">
        <v>10072</v>
      </c>
      <c r="C149" s="29" t="s">
        <v>979</v>
      </c>
      <c r="D149" s="30" t="s">
        <v>980</v>
      </c>
      <c r="E149" s="31" t="s">
        <v>6</v>
      </c>
      <c r="F149" s="31" t="s">
        <v>11</v>
      </c>
      <c r="G149" s="31" t="s">
        <v>14</v>
      </c>
    </row>
    <row r="150" spans="1:7" ht="15.75" customHeight="1" x14ac:dyDescent="0.25">
      <c r="A150" s="16">
        <v>8</v>
      </c>
      <c r="B150" s="28">
        <v>10073</v>
      </c>
      <c r="C150" s="29" t="s">
        <v>623</v>
      </c>
      <c r="D150" s="32" t="s">
        <v>624</v>
      </c>
      <c r="E150" s="31" t="s">
        <v>6</v>
      </c>
      <c r="F150" s="31" t="s">
        <v>11</v>
      </c>
      <c r="G150" s="31" t="s">
        <v>14</v>
      </c>
    </row>
    <row r="151" spans="1:7" ht="15.75" customHeight="1" x14ac:dyDescent="0.25">
      <c r="A151" s="16">
        <v>9</v>
      </c>
      <c r="B151" s="28">
        <v>10075</v>
      </c>
      <c r="C151" s="29" t="s">
        <v>981</v>
      </c>
      <c r="D151" s="30" t="s">
        <v>982</v>
      </c>
      <c r="E151" s="31" t="s">
        <v>6</v>
      </c>
      <c r="F151" s="31" t="s">
        <v>11</v>
      </c>
      <c r="G151" s="31" t="s">
        <v>14</v>
      </c>
    </row>
    <row r="152" spans="1:7" ht="15.75" customHeight="1" x14ac:dyDescent="0.25">
      <c r="A152" s="16">
        <v>10</v>
      </c>
      <c r="B152" s="28">
        <v>10077</v>
      </c>
      <c r="C152" s="29" t="s">
        <v>707</v>
      </c>
      <c r="D152" s="30" t="s">
        <v>708</v>
      </c>
      <c r="E152" s="31" t="s">
        <v>6</v>
      </c>
      <c r="F152" s="31" t="s">
        <v>11</v>
      </c>
      <c r="G152" s="31" t="s">
        <v>13</v>
      </c>
    </row>
    <row r="153" spans="1:7" ht="15.75" customHeight="1" x14ac:dyDescent="0.25">
      <c r="A153" s="16">
        <v>11</v>
      </c>
      <c r="B153" s="28">
        <v>10085</v>
      </c>
      <c r="C153" s="29" t="s">
        <v>557</v>
      </c>
      <c r="D153" s="30" t="s">
        <v>558</v>
      </c>
      <c r="E153" s="31" t="s">
        <v>6</v>
      </c>
      <c r="F153" s="31" t="s">
        <v>49</v>
      </c>
      <c r="G153" s="73" t="s">
        <v>13</v>
      </c>
    </row>
    <row r="154" spans="1:7" ht="15.75" customHeight="1" x14ac:dyDescent="0.25">
      <c r="A154" s="16">
        <v>12</v>
      </c>
      <c r="B154" s="28">
        <v>10090</v>
      </c>
      <c r="C154" s="29" t="s">
        <v>627</v>
      </c>
      <c r="D154" s="30" t="s">
        <v>628</v>
      </c>
      <c r="E154" s="31" t="s">
        <v>6</v>
      </c>
      <c r="F154" s="31" t="s">
        <v>11</v>
      </c>
      <c r="G154" s="31" t="s">
        <v>13</v>
      </c>
    </row>
    <row r="155" spans="1:7" ht="15.75" customHeight="1" x14ac:dyDescent="0.25">
      <c r="A155" s="16">
        <v>13</v>
      </c>
      <c r="B155" s="28">
        <v>10269</v>
      </c>
      <c r="C155" s="29" t="s">
        <v>1070</v>
      </c>
      <c r="D155" s="30" t="s">
        <v>1071</v>
      </c>
      <c r="E155" s="31" t="s">
        <v>6</v>
      </c>
      <c r="F155" s="31" t="s">
        <v>11</v>
      </c>
      <c r="G155" s="73" t="s">
        <v>13</v>
      </c>
    </row>
    <row r="156" spans="1:7" ht="15.75" customHeight="1" x14ac:dyDescent="0.25">
      <c r="A156" s="16">
        <v>14</v>
      </c>
      <c r="B156" s="28">
        <v>10104</v>
      </c>
      <c r="C156" s="29" t="s">
        <v>711</v>
      </c>
      <c r="D156" s="30" t="s">
        <v>712</v>
      </c>
      <c r="E156" s="31" t="s">
        <v>6</v>
      </c>
      <c r="F156" s="31" t="s">
        <v>11</v>
      </c>
      <c r="G156" s="31" t="s">
        <v>13</v>
      </c>
    </row>
    <row r="157" spans="1:7" ht="15.75" customHeight="1" x14ac:dyDescent="0.25">
      <c r="A157" s="16">
        <v>15</v>
      </c>
      <c r="B157" s="28">
        <v>10115</v>
      </c>
      <c r="C157" s="29" t="s">
        <v>857</v>
      </c>
      <c r="D157" s="30" t="s">
        <v>858</v>
      </c>
      <c r="E157" s="31" t="s">
        <v>5</v>
      </c>
      <c r="F157" s="31" t="s">
        <v>11</v>
      </c>
      <c r="G157" s="31" t="s">
        <v>13</v>
      </c>
    </row>
    <row r="158" spans="1:7" ht="15.75" customHeight="1" x14ac:dyDescent="0.25">
      <c r="A158" s="16">
        <v>16</v>
      </c>
      <c r="B158" s="28">
        <v>10120</v>
      </c>
      <c r="C158" s="29" t="s">
        <v>567</v>
      </c>
      <c r="D158" s="30" t="s">
        <v>568</v>
      </c>
      <c r="E158" s="31" t="s">
        <v>5</v>
      </c>
      <c r="F158" s="31" t="s">
        <v>49</v>
      </c>
      <c r="G158" s="31" t="s">
        <v>14</v>
      </c>
    </row>
    <row r="159" spans="1:7" ht="15.75" customHeight="1" x14ac:dyDescent="0.25">
      <c r="A159" s="16">
        <v>17</v>
      </c>
      <c r="B159" s="28">
        <v>10122</v>
      </c>
      <c r="C159" s="29" t="s">
        <v>781</v>
      </c>
      <c r="D159" s="30" t="s">
        <v>782</v>
      </c>
      <c r="E159" s="31" t="s">
        <v>6</v>
      </c>
      <c r="F159" s="31" t="s">
        <v>11</v>
      </c>
      <c r="G159" s="31" t="s">
        <v>14</v>
      </c>
    </row>
    <row r="160" spans="1:7" ht="15.75" customHeight="1" x14ac:dyDescent="0.25">
      <c r="A160" s="16">
        <v>18</v>
      </c>
      <c r="B160" s="28">
        <v>10129</v>
      </c>
      <c r="C160" s="29" t="s">
        <v>995</v>
      </c>
      <c r="D160" s="30" t="s">
        <v>996</v>
      </c>
      <c r="E160" s="31" t="s">
        <v>6</v>
      </c>
      <c r="F160" s="31" t="s">
        <v>11</v>
      </c>
      <c r="G160" s="31" t="s">
        <v>14</v>
      </c>
    </row>
    <row r="161" spans="1:7" ht="15.75" customHeight="1" x14ac:dyDescent="0.25">
      <c r="A161" s="16">
        <v>19</v>
      </c>
      <c r="B161" s="28">
        <v>10133</v>
      </c>
      <c r="C161" s="29" t="s">
        <v>569</v>
      </c>
      <c r="D161" s="30" t="s">
        <v>570</v>
      </c>
      <c r="E161" s="31" t="s">
        <v>6</v>
      </c>
      <c r="F161" s="31" t="s">
        <v>11</v>
      </c>
      <c r="G161" s="31" t="s">
        <v>13</v>
      </c>
    </row>
    <row r="162" spans="1:7" ht="15.75" customHeight="1" x14ac:dyDescent="0.25">
      <c r="A162" s="16">
        <v>20</v>
      </c>
      <c r="B162" s="28">
        <v>10145</v>
      </c>
      <c r="C162" s="29" t="s">
        <v>937</v>
      </c>
      <c r="D162" s="30" t="s">
        <v>938</v>
      </c>
      <c r="E162" s="31" t="s">
        <v>5</v>
      </c>
      <c r="F162" s="31" t="s">
        <v>11</v>
      </c>
      <c r="G162" s="31" t="s">
        <v>13</v>
      </c>
    </row>
    <row r="163" spans="1:7" ht="15.75" customHeight="1" x14ac:dyDescent="0.25">
      <c r="A163" s="16">
        <v>21</v>
      </c>
      <c r="B163" s="28">
        <v>10151</v>
      </c>
      <c r="C163" s="29" t="s">
        <v>789</v>
      </c>
      <c r="D163" s="32" t="s">
        <v>790</v>
      </c>
      <c r="E163" s="31" t="s">
        <v>6</v>
      </c>
      <c r="F163" s="31" t="s">
        <v>11</v>
      </c>
      <c r="G163" s="31" t="s">
        <v>14</v>
      </c>
    </row>
    <row r="164" spans="1:7" ht="15.75" customHeight="1" x14ac:dyDescent="0.25">
      <c r="A164" s="16">
        <v>22</v>
      </c>
      <c r="B164" s="28">
        <v>10171</v>
      </c>
      <c r="C164" s="29" t="s">
        <v>577</v>
      </c>
      <c r="D164" s="30" t="s">
        <v>578</v>
      </c>
      <c r="E164" s="31" t="s">
        <v>6</v>
      </c>
      <c r="F164" s="31" t="s">
        <v>11</v>
      </c>
      <c r="G164" s="31" t="s">
        <v>13</v>
      </c>
    </row>
    <row r="165" spans="1:7" ht="15.75" customHeight="1" x14ac:dyDescent="0.25">
      <c r="A165" s="16">
        <v>23</v>
      </c>
      <c r="B165" s="28">
        <v>10173</v>
      </c>
      <c r="C165" s="29" t="s">
        <v>947</v>
      </c>
      <c r="D165" s="30" t="s">
        <v>948</v>
      </c>
      <c r="E165" s="31" t="s">
        <v>6</v>
      </c>
      <c r="F165" s="31" t="s">
        <v>11</v>
      </c>
      <c r="G165" s="31" t="s">
        <v>13</v>
      </c>
    </row>
    <row r="166" spans="1:7" ht="15.75" customHeight="1" x14ac:dyDescent="0.25">
      <c r="A166" s="16">
        <v>24</v>
      </c>
      <c r="B166" s="28">
        <v>10179</v>
      </c>
      <c r="C166" s="29" t="s">
        <v>655</v>
      </c>
      <c r="D166" s="30" t="s">
        <v>656</v>
      </c>
      <c r="E166" s="31" t="s">
        <v>6</v>
      </c>
      <c r="F166" s="31" t="s">
        <v>11</v>
      </c>
      <c r="G166" s="31" t="s">
        <v>13</v>
      </c>
    </row>
    <row r="167" spans="1:7" ht="15.75" customHeight="1" x14ac:dyDescent="0.25">
      <c r="A167" s="16">
        <v>25</v>
      </c>
      <c r="B167" s="28">
        <v>10190</v>
      </c>
      <c r="C167" s="29" t="s">
        <v>795</v>
      </c>
      <c r="D167" s="30" t="s">
        <v>796</v>
      </c>
      <c r="E167" s="31" t="s">
        <v>6</v>
      </c>
      <c r="F167" s="31" t="s">
        <v>11</v>
      </c>
      <c r="G167" s="73" t="s">
        <v>13</v>
      </c>
    </row>
    <row r="168" spans="1:7" ht="15.75" customHeight="1" x14ac:dyDescent="0.25">
      <c r="A168" s="16">
        <v>26</v>
      </c>
      <c r="B168" s="28">
        <v>10198</v>
      </c>
      <c r="C168" s="29" t="s">
        <v>879</v>
      </c>
      <c r="D168" s="30" t="s">
        <v>880</v>
      </c>
      <c r="E168" s="31" t="s">
        <v>6</v>
      </c>
      <c r="F168" s="31" t="s">
        <v>11</v>
      </c>
      <c r="G168" s="31" t="s">
        <v>13</v>
      </c>
    </row>
    <row r="169" spans="1:7" ht="15.75" customHeight="1" x14ac:dyDescent="0.25">
      <c r="A169" s="16">
        <v>27</v>
      </c>
      <c r="B169" s="28">
        <v>10203</v>
      </c>
      <c r="C169" s="29" t="s">
        <v>797</v>
      </c>
      <c r="D169" s="30" t="s">
        <v>798</v>
      </c>
      <c r="E169" s="31" t="s">
        <v>6</v>
      </c>
      <c r="F169" s="31" t="s">
        <v>11</v>
      </c>
      <c r="G169" s="31" t="s">
        <v>14</v>
      </c>
    </row>
    <row r="170" spans="1:7" ht="15.75" customHeight="1" x14ac:dyDescent="0.25">
      <c r="A170" s="16">
        <v>28</v>
      </c>
      <c r="B170" s="28">
        <v>10211</v>
      </c>
      <c r="C170" s="29" t="s">
        <v>955</v>
      </c>
      <c r="D170" s="30" t="s">
        <v>956</v>
      </c>
      <c r="E170" s="31" t="s">
        <v>6</v>
      </c>
      <c r="F170" s="31" t="s">
        <v>11</v>
      </c>
      <c r="G170" s="31" t="s">
        <v>13</v>
      </c>
    </row>
    <row r="171" spans="1:7" ht="15.75" customHeight="1" x14ac:dyDescent="0.25">
      <c r="A171" s="16">
        <v>29</v>
      </c>
      <c r="B171" s="28">
        <v>10215</v>
      </c>
      <c r="C171" s="34" t="s">
        <v>665</v>
      </c>
      <c r="D171" s="30" t="s">
        <v>666</v>
      </c>
      <c r="E171" s="31" t="s">
        <v>6</v>
      </c>
      <c r="F171" s="31" t="s">
        <v>12</v>
      </c>
      <c r="G171" s="31" t="s">
        <v>14</v>
      </c>
    </row>
    <row r="172" spans="1:7" ht="15.75" customHeight="1" x14ac:dyDescent="0.25">
      <c r="A172" s="16">
        <v>30</v>
      </c>
      <c r="B172" s="28">
        <v>10224</v>
      </c>
      <c r="C172" s="29" t="s">
        <v>747</v>
      </c>
      <c r="D172" s="30" t="s">
        <v>748</v>
      </c>
      <c r="E172" s="31" t="s">
        <v>6</v>
      </c>
      <c r="F172" s="31" t="s">
        <v>11</v>
      </c>
      <c r="G172" s="31" t="s">
        <v>13</v>
      </c>
    </row>
    <row r="173" spans="1:7" ht="15.75" customHeight="1" x14ac:dyDescent="0.25">
      <c r="A173" s="16">
        <v>31</v>
      </c>
      <c r="B173" s="28">
        <v>10239</v>
      </c>
      <c r="C173" s="29" t="s">
        <v>751</v>
      </c>
      <c r="D173" s="30" t="s">
        <v>752</v>
      </c>
      <c r="E173" s="31" t="s">
        <v>6</v>
      </c>
      <c r="F173" s="31" t="s">
        <v>11</v>
      </c>
      <c r="G173" s="31" t="s">
        <v>13</v>
      </c>
    </row>
    <row r="174" spans="1:7" ht="15.75" customHeight="1" x14ac:dyDescent="0.25">
      <c r="A174" s="16">
        <v>32</v>
      </c>
      <c r="B174" s="28">
        <v>10246</v>
      </c>
      <c r="C174" s="29" t="s">
        <v>603</v>
      </c>
      <c r="D174" s="30" t="s">
        <v>604</v>
      </c>
      <c r="E174" s="31" t="s">
        <v>6</v>
      </c>
      <c r="F174" s="31" t="s">
        <v>49</v>
      </c>
      <c r="G174" s="73" t="s">
        <v>13</v>
      </c>
    </row>
    <row r="175" spans="1:7" ht="15.75" customHeight="1" x14ac:dyDescent="0.25">
      <c r="A175" s="16">
        <v>33</v>
      </c>
      <c r="B175" s="28">
        <v>10250</v>
      </c>
      <c r="C175" s="34" t="s">
        <v>605</v>
      </c>
      <c r="D175" s="30" t="s">
        <v>606</v>
      </c>
      <c r="E175" s="31" t="s">
        <v>6</v>
      </c>
      <c r="F175" s="31" t="s">
        <v>11</v>
      </c>
      <c r="G175" s="31" t="s">
        <v>13</v>
      </c>
    </row>
    <row r="176" spans="1:7" ht="15.75" customHeight="1" x14ac:dyDescent="0.25">
      <c r="A176" s="16">
        <v>34</v>
      </c>
      <c r="B176" s="28">
        <v>10254</v>
      </c>
      <c r="C176" s="29" t="s">
        <v>677</v>
      </c>
      <c r="D176" s="30" t="s">
        <v>678</v>
      </c>
      <c r="E176" s="31" t="s">
        <v>6</v>
      </c>
      <c r="F176" s="31" t="s">
        <v>11</v>
      </c>
      <c r="G176" s="31" t="s">
        <v>14</v>
      </c>
    </row>
    <row r="177" spans="1:8" ht="15.75" customHeight="1" x14ac:dyDescent="0.25">
      <c r="A177" s="16">
        <v>35</v>
      </c>
      <c r="B177" s="28">
        <v>10255</v>
      </c>
      <c r="C177" s="29" t="s">
        <v>1033</v>
      </c>
      <c r="D177" s="32" t="s">
        <v>1034</v>
      </c>
      <c r="E177" s="31" t="s">
        <v>6</v>
      </c>
      <c r="F177" s="31" t="s">
        <v>11</v>
      </c>
      <c r="G177" s="31" t="s">
        <v>14</v>
      </c>
    </row>
    <row r="178" spans="1:8" ht="15.75" customHeight="1" x14ac:dyDescent="0.25">
      <c r="A178" s="16">
        <v>36</v>
      </c>
      <c r="B178" s="33">
        <v>10257</v>
      </c>
      <c r="C178" s="34" t="s">
        <v>1035</v>
      </c>
      <c r="D178" s="35" t="s">
        <v>1036</v>
      </c>
      <c r="E178" s="36" t="s">
        <v>5</v>
      </c>
      <c r="F178" s="36" t="s">
        <v>11</v>
      </c>
      <c r="G178" s="31" t="s">
        <v>14</v>
      </c>
    </row>
    <row r="179" spans="1:8" ht="15.75" customHeight="1" x14ac:dyDescent="0.2">
      <c r="A179" s="3" t="s">
        <v>5</v>
      </c>
      <c r="B179" s="3">
        <f>COUNTIF(E143:E178,A179)</f>
        <v>6</v>
      </c>
      <c r="C179" s="1" t="s">
        <v>8</v>
      </c>
      <c r="D179" s="6" t="s">
        <v>11</v>
      </c>
      <c r="E179" s="3">
        <f>COUNTIF(F143:F178,D179)</f>
        <v>32</v>
      </c>
      <c r="F179" s="3"/>
      <c r="G179" s="7"/>
      <c r="H179" s="9"/>
    </row>
    <row r="180" spans="1:8" ht="15.75" customHeight="1" x14ac:dyDescent="0.2">
      <c r="A180" s="3" t="s">
        <v>6</v>
      </c>
      <c r="B180" s="5">
        <f>COUNTIF(E143:E178,A180)</f>
        <v>30</v>
      </c>
      <c r="C180" s="1" t="s">
        <v>8</v>
      </c>
      <c r="D180" s="6" t="s">
        <v>49</v>
      </c>
      <c r="E180" s="3">
        <f>COUNTIF(F143:F178,D180)</f>
        <v>3</v>
      </c>
      <c r="F180" s="3"/>
      <c r="G180" s="7"/>
      <c r="H180" s="9"/>
    </row>
    <row r="181" spans="1:8" ht="15.75" customHeight="1" x14ac:dyDescent="0.2">
      <c r="A181" s="3" t="s">
        <v>7</v>
      </c>
      <c r="B181" s="3">
        <f>B179+B180</f>
        <v>36</v>
      </c>
      <c r="C181" s="1" t="s">
        <v>8</v>
      </c>
      <c r="D181" s="6" t="s">
        <v>12</v>
      </c>
      <c r="E181" s="3">
        <f>COUNTIF(F143:F178,D181)</f>
        <v>1</v>
      </c>
      <c r="F181" s="3"/>
      <c r="G181" s="7"/>
      <c r="H181" s="9"/>
    </row>
    <row r="182" spans="1:8" ht="15.75" customHeight="1" x14ac:dyDescent="0.2">
      <c r="D182" s="40" t="s">
        <v>13</v>
      </c>
      <c r="E182" s="41">
        <f>COUNTIF(G143:G178,D182)</f>
        <v>23</v>
      </c>
      <c r="F182" s="3"/>
      <c r="G182" s="7"/>
      <c r="H182" s="9"/>
    </row>
    <row r="183" spans="1:8" ht="15.75" customHeight="1" x14ac:dyDescent="0.2">
      <c r="D183" s="40" t="s">
        <v>14</v>
      </c>
      <c r="E183" s="41">
        <f>COUNTIF(G143:G178,D183)</f>
        <v>13</v>
      </c>
      <c r="F183" s="3"/>
      <c r="G183" s="7"/>
      <c r="H183" s="9"/>
    </row>
    <row r="184" spans="1:8" ht="15.75" customHeight="1" x14ac:dyDescent="0.2">
      <c r="A184" s="10" t="s">
        <v>1084</v>
      </c>
      <c r="B184" s="10"/>
      <c r="C184" s="10"/>
      <c r="D184" s="19"/>
      <c r="E184" s="8"/>
      <c r="F184" s="8"/>
      <c r="G184" s="7"/>
    </row>
    <row r="185" spans="1:8" ht="15.75" customHeight="1" x14ac:dyDescent="0.2">
      <c r="A185" s="88" t="s">
        <v>0</v>
      </c>
      <c r="B185" s="89"/>
      <c r="C185" s="89"/>
      <c r="D185" s="90" t="s">
        <v>1</v>
      </c>
      <c r="E185" s="92" t="s">
        <v>9</v>
      </c>
      <c r="F185" s="86" t="s">
        <v>10</v>
      </c>
      <c r="G185" s="96" t="s">
        <v>48</v>
      </c>
    </row>
    <row r="186" spans="1:8" ht="15.75" customHeight="1" x14ac:dyDescent="0.2">
      <c r="A186" s="20" t="s">
        <v>2</v>
      </c>
      <c r="B186" s="20" t="s">
        <v>3</v>
      </c>
      <c r="C186" s="21" t="s">
        <v>4</v>
      </c>
      <c r="D186" s="91"/>
      <c r="E186" s="93"/>
      <c r="F186" s="87"/>
      <c r="G186" s="97"/>
    </row>
    <row r="187" spans="1:8" ht="15.75" customHeight="1" x14ac:dyDescent="0.25">
      <c r="A187" s="16">
        <v>1</v>
      </c>
      <c r="B187" s="28">
        <v>10035</v>
      </c>
      <c r="C187" s="26" t="s">
        <v>833</v>
      </c>
      <c r="D187" s="27" t="s">
        <v>834</v>
      </c>
      <c r="E187" s="18" t="s">
        <v>6</v>
      </c>
      <c r="F187" s="31" t="s">
        <v>11</v>
      </c>
      <c r="G187" s="31" t="s">
        <v>13</v>
      </c>
    </row>
    <row r="188" spans="1:8" ht="15.75" customHeight="1" x14ac:dyDescent="0.25">
      <c r="A188" s="16">
        <v>2</v>
      </c>
      <c r="B188" s="28">
        <v>10037</v>
      </c>
      <c r="C188" s="29" t="s">
        <v>691</v>
      </c>
      <c r="D188" s="30" t="s">
        <v>692</v>
      </c>
      <c r="E188" s="31" t="s">
        <v>6</v>
      </c>
      <c r="F188" s="31" t="s">
        <v>11</v>
      </c>
      <c r="G188" s="31" t="s">
        <v>13</v>
      </c>
    </row>
    <row r="189" spans="1:8" ht="15.75" customHeight="1" x14ac:dyDescent="0.25">
      <c r="A189" s="16">
        <v>3</v>
      </c>
      <c r="B189" s="28">
        <v>10045</v>
      </c>
      <c r="C189" s="29" t="s">
        <v>837</v>
      </c>
      <c r="D189" s="30" t="s">
        <v>838</v>
      </c>
      <c r="E189" s="31" t="s">
        <v>6</v>
      </c>
      <c r="F189" s="31" t="s">
        <v>11</v>
      </c>
      <c r="G189" s="31" t="s">
        <v>13</v>
      </c>
    </row>
    <row r="190" spans="1:8" ht="15.75" customHeight="1" x14ac:dyDescent="0.25">
      <c r="A190" s="16">
        <v>4</v>
      </c>
      <c r="B190" s="28">
        <v>10055</v>
      </c>
      <c r="C190" s="29" t="s">
        <v>551</v>
      </c>
      <c r="D190" s="30" t="s">
        <v>552</v>
      </c>
      <c r="E190" s="31" t="s">
        <v>6</v>
      </c>
      <c r="F190" s="31" t="s">
        <v>11</v>
      </c>
      <c r="G190" s="31" t="s">
        <v>13</v>
      </c>
    </row>
    <row r="191" spans="1:8" ht="15.75" customHeight="1" x14ac:dyDescent="0.25">
      <c r="A191" s="16">
        <v>5</v>
      </c>
      <c r="B191" s="28">
        <v>10062</v>
      </c>
      <c r="C191" s="29" t="s">
        <v>767</v>
      </c>
      <c r="D191" s="30" t="s">
        <v>768</v>
      </c>
      <c r="E191" s="31" t="s">
        <v>6</v>
      </c>
      <c r="F191" s="31" t="s">
        <v>11</v>
      </c>
      <c r="G191" s="31" t="s">
        <v>14</v>
      </c>
    </row>
    <row r="192" spans="1:8" ht="15.75" customHeight="1" x14ac:dyDescent="0.25">
      <c r="A192" s="16">
        <v>6</v>
      </c>
      <c r="B192" s="28">
        <v>10064</v>
      </c>
      <c r="C192" s="29" t="s">
        <v>697</v>
      </c>
      <c r="D192" s="32" t="s">
        <v>698</v>
      </c>
      <c r="E192" s="31" t="s">
        <v>5</v>
      </c>
      <c r="F192" s="31" t="s">
        <v>11</v>
      </c>
      <c r="G192" s="73" t="s">
        <v>14</v>
      </c>
    </row>
    <row r="193" spans="1:7" ht="15.75" customHeight="1" x14ac:dyDescent="0.25">
      <c r="A193" s="16">
        <v>7</v>
      </c>
      <c r="B193" s="28">
        <v>10065</v>
      </c>
      <c r="C193" s="29" t="s">
        <v>621</v>
      </c>
      <c r="D193" s="32" t="s">
        <v>622</v>
      </c>
      <c r="E193" s="31" t="s">
        <v>6</v>
      </c>
      <c r="F193" s="31" t="s">
        <v>12</v>
      </c>
      <c r="G193" s="31" t="s">
        <v>13</v>
      </c>
    </row>
    <row r="194" spans="1:7" ht="15.75" customHeight="1" x14ac:dyDescent="0.25">
      <c r="A194" s="16">
        <v>8</v>
      </c>
      <c r="B194" s="28">
        <v>10070</v>
      </c>
      <c r="C194" s="29" t="s">
        <v>701</v>
      </c>
      <c r="D194" s="30" t="s">
        <v>702</v>
      </c>
      <c r="E194" s="31" t="s">
        <v>6</v>
      </c>
      <c r="F194" s="31" t="s">
        <v>11</v>
      </c>
      <c r="G194" s="31" t="s">
        <v>13</v>
      </c>
    </row>
    <row r="195" spans="1:7" ht="15.75" customHeight="1" x14ac:dyDescent="0.25">
      <c r="A195" s="16">
        <v>9</v>
      </c>
      <c r="B195" s="28">
        <v>10082</v>
      </c>
      <c r="C195" s="29" t="s">
        <v>853</v>
      </c>
      <c r="D195" s="30" t="s">
        <v>854</v>
      </c>
      <c r="E195" s="31" t="s">
        <v>6</v>
      </c>
      <c r="F195" s="31" t="s">
        <v>11</v>
      </c>
      <c r="G195" s="31" t="s">
        <v>13</v>
      </c>
    </row>
    <row r="196" spans="1:7" ht="15.75" customHeight="1" x14ac:dyDescent="0.25">
      <c r="A196" s="16">
        <v>10</v>
      </c>
      <c r="B196" s="28">
        <v>10084</v>
      </c>
      <c r="C196" s="29" t="s">
        <v>983</v>
      </c>
      <c r="D196" s="30" t="s">
        <v>984</v>
      </c>
      <c r="E196" s="31" t="s">
        <v>6</v>
      </c>
      <c r="F196" s="31" t="s">
        <v>11</v>
      </c>
      <c r="G196" s="31" t="s">
        <v>14</v>
      </c>
    </row>
    <row r="197" spans="1:7" ht="15.75" customHeight="1" x14ac:dyDescent="0.25">
      <c r="A197" s="16">
        <v>11</v>
      </c>
      <c r="B197" s="28">
        <v>10086</v>
      </c>
      <c r="C197" s="29" t="s">
        <v>625</v>
      </c>
      <c r="D197" s="30" t="s">
        <v>626</v>
      </c>
      <c r="E197" s="31" t="s">
        <v>5</v>
      </c>
      <c r="F197" s="31" t="s">
        <v>12</v>
      </c>
      <c r="G197" s="31" t="s">
        <v>13</v>
      </c>
    </row>
    <row r="198" spans="1:7" ht="15.75" customHeight="1" x14ac:dyDescent="0.25">
      <c r="A198" s="16">
        <v>12</v>
      </c>
      <c r="B198" s="28">
        <v>10087</v>
      </c>
      <c r="C198" s="29" t="s">
        <v>985</v>
      </c>
      <c r="D198" s="30" t="s">
        <v>986</v>
      </c>
      <c r="E198" s="31" t="s">
        <v>6</v>
      </c>
      <c r="F198" s="31" t="s">
        <v>11</v>
      </c>
      <c r="G198" s="31" t="s">
        <v>14</v>
      </c>
    </row>
    <row r="199" spans="1:7" ht="15.75" customHeight="1" x14ac:dyDescent="0.25">
      <c r="A199" s="16">
        <v>13</v>
      </c>
      <c r="B199" s="28">
        <v>10091</v>
      </c>
      <c r="C199" s="29" t="s">
        <v>559</v>
      </c>
      <c r="D199" s="32" t="s">
        <v>560</v>
      </c>
      <c r="E199" s="31" t="s">
        <v>6</v>
      </c>
      <c r="F199" s="31" t="s">
        <v>49</v>
      </c>
      <c r="G199" s="31" t="s">
        <v>13</v>
      </c>
    </row>
    <row r="200" spans="1:7" ht="15.75" customHeight="1" x14ac:dyDescent="0.25">
      <c r="A200" s="16">
        <v>14</v>
      </c>
      <c r="B200" s="28">
        <v>10092</v>
      </c>
      <c r="C200" s="29" t="s">
        <v>561</v>
      </c>
      <c r="D200" s="30" t="s">
        <v>562</v>
      </c>
      <c r="E200" s="31" t="s">
        <v>6</v>
      </c>
      <c r="F200" s="31" t="s">
        <v>49</v>
      </c>
      <c r="G200" s="31" t="s">
        <v>13</v>
      </c>
    </row>
    <row r="201" spans="1:7" ht="15.75" customHeight="1" x14ac:dyDescent="0.25">
      <c r="A201" s="16">
        <v>15</v>
      </c>
      <c r="B201" s="28">
        <v>10116</v>
      </c>
      <c r="C201" s="29" t="s">
        <v>859</v>
      </c>
      <c r="D201" s="30" t="s">
        <v>860</v>
      </c>
      <c r="E201" s="31" t="s">
        <v>6</v>
      </c>
      <c r="F201" s="31" t="s">
        <v>11</v>
      </c>
      <c r="G201" s="31" t="s">
        <v>13</v>
      </c>
    </row>
    <row r="202" spans="1:7" ht="15.75" customHeight="1" x14ac:dyDescent="0.25">
      <c r="A202" s="16">
        <v>16</v>
      </c>
      <c r="B202" s="28">
        <v>10118</v>
      </c>
      <c r="C202" s="29" t="s">
        <v>715</v>
      </c>
      <c r="D202" s="30" t="s">
        <v>716</v>
      </c>
      <c r="E202" s="31" t="s">
        <v>6</v>
      </c>
      <c r="F202" s="31" t="s">
        <v>11</v>
      </c>
      <c r="G202" s="31" t="s">
        <v>13</v>
      </c>
    </row>
    <row r="203" spans="1:7" ht="15.75" customHeight="1" x14ac:dyDescent="0.25">
      <c r="A203" s="16">
        <v>17</v>
      </c>
      <c r="B203" s="28">
        <v>10124</v>
      </c>
      <c r="C203" s="29" t="s">
        <v>929</v>
      </c>
      <c r="D203" s="30" t="s">
        <v>930</v>
      </c>
      <c r="E203" s="31" t="s">
        <v>6</v>
      </c>
      <c r="F203" s="31" t="s">
        <v>11</v>
      </c>
      <c r="G203" s="31" t="s">
        <v>13</v>
      </c>
    </row>
    <row r="204" spans="1:7" ht="15.75" customHeight="1" x14ac:dyDescent="0.25">
      <c r="A204" s="16">
        <v>18</v>
      </c>
      <c r="B204" s="28">
        <v>10134</v>
      </c>
      <c r="C204" s="29" t="s">
        <v>721</v>
      </c>
      <c r="D204" s="30" t="s">
        <v>722</v>
      </c>
      <c r="E204" s="31" t="s">
        <v>6</v>
      </c>
      <c r="F204" s="31" t="s">
        <v>11</v>
      </c>
      <c r="G204" s="31" t="s">
        <v>13</v>
      </c>
    </row>
    <row r="205" spans="1:7" ht="15.75" customHeight="1" x14ac:dyDescent="0.25">
      <c r="A205" s="16">
        <v>19</v>
      </c>
      <c r="B205" s="28">
        <v>10135</v>
      </c>
      <c r="C205" s="29" t="s">
        <v>571</v>
      </c>
      <c r="D205" s="30" t="s">
        <v>572</v>
      </c>
      <c r="E205" s="31" t="s">
        <v>6</v>
      </c>
      <c r="F205" s="31" t="s">
        <v>49</v>
      </c>
      <c r="G205" s="31" t="s">
        <v>13</v>
      </c>
    </row>
    <row r="206" spans="1:7" ht="15.75" customHeight="1" x14ac:dyDescent="0.25">
      <c r="A206" s="16">
        <v>20</v>
      </c>
      <c r="B206" s="28">
        <v>10140</v>
      </c>
      <c r="C206" s="29" t="s">
        <v>723</v>
      </c>
      <c r="D206" s="30" t="s">
        <v>724</v>
      </c>
      <c r="E206" s="31" t="s">
        <v>6</v>
      </c>
      <c r="F206" s="31" t="s">
        <v>11</v>
      </c>
      <c r="G206" s="31" t="s">
        <v>13</v>
      </c>
    </row>
    <row r="207" spans="1:7" ht="15.75" customHeight="1" x14ac:dyDescent="0.25">
      <c r="A207" s="16">
        <v>21</v>
      </c>
      <c r="B207" s="28">
        <v>10157</v>
      </c>
      <c r="C207" s="29" t="s">
        <v>643</v>
      </c>
      <c r="D207" s="30" t="s">
        <v>644</v>
      </c>
      <c r="E207" s="31" t="s">
        <v>6</v>
      </c>
      <c r="F207" s="31" t="s">
        <v>12</v>
      </c>
      <c r="G207" s="31" t="s">
        <v>14</v>
      </c>
    </row>
    <row r="208" spans="1:7" ht="15.75" customHeight="1" x14ac:dyDescent="0.25">
      <c r="A208" s="16">
        <v>22</v>
      </c>
      <c r="B208" s="28">
        <v>10178</v>
      </c>
      <c r="C208" s="29" t="s">
        <v>653</v>
      </c>
      <c r="D208" s="32" t="s">
        <v>654</v>
      </c>
      <c r="E208" s="31" t="s">
        <v>6</v>
      </c>
      <c r="F208" s="31" t="s">
        <v>11</v>
      </c>
      <c r="G208" s="31" t="s">
        <v>13</v>
      </c>
    </row>
    <row r="209" spans="1:8" ht="15.75" customHeight="1" x14ac:dyDescent="0.25">
      <c r="A209" s="16">
        <v>23</v>
      </c>
      <c r="B209" s="28">
        <v>10184</v>
      </c>
      <c r="C209" s="29" t="s">
        <v>581</v>
      </c>
      <c r="D209" s="30" t="s">
        <v>582</v>
      </c>
      <c r="E209" s="31" t="s">
        <v>6</v>
      </c>
      <c r="F209" s="31" t="s">
        <v>11</v>
      </c>
      <c r="G209" s="31" t="s">
        <v>13</v>
      </c>
    </row>
    <row r="210" spans="1:8" ht="15.75" customHeight="1" x14ac:dyDescent="0.25">
      <c r="A210" s="16">
        <v>24</v>
      </c>
      <c r="B210" s="28">
        <v>10185</v>
      </c>
      <c r="C210" s="29" t="s">
        <v>583</v>
      </c>
      <c r="D210" s="32" t="s">
        <v>584</v>
      </c>
      <c r="E210" s="31" t="s">
        <v>6</v>
      </c>
      <c r="F210" s="31" t="s">
        <v>49</v>
      </c>
      <c r="G210" s="31" t="s">
        <v>13</v>
      </c>
    </row>
    <row r="211" spans="1:8" ht="15.75" customHeight="1" x14ac:dyDescent="0.25">
      <c r="A211" s="16">
        <v>25</v>
      </c>
      <c r="B211" s="28">
        <v>10188</v>
      </c>
      <c r="C211" s="29" t="s">
        <v>949</v>
      </c>
      <c r="D211" s="30" t="s">
        <v>950</v>
      </c>
      <c r="E211" s="31" t="s">
        <v>6</v>
      </c>
      <c r="F211" s="31" t="s">
        <v>11</v>
      </c>
      <c r="G211" s="31" t="s">
        <v>13</v>
      </c>
    </row>
    <row r="212" spans="1:8" ht="15.75" customHeight="1" x14ac:dyDescent="0.25">
      <c r="A212" s="16">
        <v>26</v>
      </c>
      <c r="B212" s="28">
        <v>10189</v>
      </c>
      <c r="C212" s="29" t="s">
        <v>737</v>
      </c>
      <c r="D212" s="30" t="s">
        <v>738</v>
      </c>
      <c r="E212" s="31" t="s">
        <v>5</v>
      </c>
      <c r="F212" s="31" t="s">
        <v>11</v>
      </c>
      <c r="G212" s="73" t="s">
        <v>14</v>
      </c>
    </row>
    <row r="213" spans="1:8" ht="15.75" customHeight="1" x14ac:dyDescent="0.25">
      <c r="A213" s="16">
        <v>27</v>
      </c>
      <c r="B213" s="28">
        <v>10194</v>
      </c>
      <c r="C213" s="29" t="s">
        <v>1015</v>
      </c>
      <c r="D213" s="30" t="s">
        <v>1016</v>
      </c>
      <c r="E213" s="31" t="s">
        <v>6</v>
      </c>
      <c r="F213" s="31" t="s">
        <v>11</v>
      </c>
      <c r="G213" s="31" t="s">
        <v>14</v>
      </c>
    </row>
    <row r="214" spans="1:8" ht="15.75" customHeight="1" x14ac:dyDescent="0.25">
      <c r="A214" s="16">
        <v>28</v>
      </c>
      <c r="B214" s="28">
        <v>10197</v>
      </c>
      <c r="C214" s="34" t="s">
        <v>661</v>
      </c>
      <c r="D214" s="30" t="s">
        <v>662</v>
      </c>
      <c r="E214" s="31" t="s">
        <v>6</v>
      </c>
      <c r="F214" s="31" t="s">
        <v>11</v>
      </c>
      <c r="G214" s="31" t="s">
        <v>13</v>
      </c>
    </row>
    <row r="215" spans="1:8" ht="15.75" customHeight="1" x14ac:dyDescent="0.25">
      <c r="A215" s="16">
        <v>29</v>
      </c>
      <c r="B215" s="28">
        <v>10205</v>
      </c>
      <c r="C215" s="29" t="s">
        <v>663</v>
      </c>
      <c r="D215" s="30" t="s">
        <v>664</v>
      </c>
      <c r="E215" s="31" t="s">
        <v>6</v>
      </c>
      <c r="F215" s="31" t="s">
        <v>11</v>
      </c>
      <c r="G215" s="31" t="s">
        <v>13</v>
      </c>
    </row>
    <row r="216" spans="1:8" ht="15.75" customHeight="1" x14ac:dyDescent="0.25">
      <c r="A216" s="16">
        <v>30</v>
      </c>
      <c r="B216" s="28">
        <v>10206</v>
      </c>
      <c r="C216" s="29" t="s">
        <v>741</v>
      </c>
      <c r="D216" s="30" t="s">
        <v>742</v>
      </c>
      <c r="E216" s="31" t="s">
        <v>5</v>
      </c>
      <c r="F216" s="31" t="s">
        <v>11</v>
      </c>
      <c r="G216" s="31" t="s">
        <v>13</v>
      </c>
    </row>
    <row r="217" spans="1:8" ht="15.75" customHeight="1" x14ac:dyDescent="0.25">
      <c r="A217" s="16">
        <v>31</v>
      </c>
      <c r="B217" s="28">
        <v>10216</v>
      </c>
      <c r="C217" s="29" t="s">
        <v>743</v>
      </c>
      <c r="D217" s="30" t="s">
        <v>744</v>
      </c>
      <c r="E217" s="31" t="s">
        <v>5</v>
      </c>
      <c r="F217" s="31" t="s">
        <v>11</v>
      </c>
      <c r="G217" s="31" t="s">
        <v>13</v>
      </c>
    </row>
    <row r="218" spans="1:8" ht="15.75" customHeight="1" x14ac:dyDescent="0.25">
      <c r="A218" s="16">
        <v>32</v>
      </c>
      <c r="B218" s="28">
        <v>10227</v>
      </c>
      <c r="C218" s="29" t="s">
        <v>599</v>
      </c>
      <c r="D218" s="30" t="s">
        <v>600</v>
      </c>
      <c r="E218" s="31" t="s">
        <v>6</v>
      </c>
      <c r="F218" s="31" t="s">
        <v>11</v>
      </c>
      <c r="G218" s="31" t="s">
        <v>13</v>
      </c>
    </row>
    <row r="219" spans="1:8" ht="15.75" customHeight="1" x14ac:dyDescent="0.25">
      <c r="A219" s="16">
        <v>33</v>
      </c>
      <c r="B219" s="28">
        <v>10237</v>
      </c>
      <c r="C219" s="29" t="s">
        <v>963</v>
      </c>
      <c r="D219" s="30" t="s">
        <v>964</v>
      </c>
      <c r="E219" s="31" t="s">
        <v>6</v>
      </c>
      <c r="F219" s="31" t="s">
        <v>11</v>
      </c>
      <c r="G219" s="31" t="s">
        <v>13</v>
      </c>
    </row>
    <row r="220" spans="1:8" ht="15.75" customHeight="1" x14ac:dyDescent="0.25">
      <c r="A220" s="16">
        <v>34</v>
      </c>
      <c r="B220" s="28">
        <v>10247</v>
      </c>
      <c r="C220" s="29" t="s">
        <v>671</v>
      </c>
      <c r="D220" s="30" t="s">
        <v>672</v>
      </c>
      <c r="E220" s="31" t="s">
        <v>6</v>
      </c>
      <c r="F220" s="31" t="s">
        <v>11</v>
      </c>
      <c r="G220" s="31" t="s">
        <v>13</v>
      </c>
    </row>
    <row r="221" spans="1:8" ht="15.75" customHeight="1" x14ac:dyDescent="0.25">
      <c r="A221" s="16">
        <v>35</v>
      </c>
      <c r="B221" s="28">
        <v>10248</v>
      </c>
      <c r="C221" s="29" t="s">
        <v>893</v>
      </c>
      <c r="D221" s="30" t="s">
        <v>894</v>
      </c>
      <c r="E221" s="31" t="s">
        <v>6</v>
      </c>
      <c r="F221" s="31" t="s">
        <v>11</v>
      </c>
      <c r="G221" s="31" t="s">
        <v>13</v>
      </c>
    </row>
    <row r="222" spans="1:8" ht="15.75" customHeight="1" x14ac:dyDescent="0.25">
      <c r="A222" s="16">
        <v>36</v>
      </c>
      <c r="B222" s="33">
        <v>10267</v>
      </c>
      <c r="C222" s="34" t="s">
        <v>1039</v>
      </c>
      <c r="D222" s="39" t="s">
        <v>1040</v>
      </c>
      <c r="E222" s="36" t="s">
        <v>6</v>
      </c>
      <c r="F222" s="36" t="s">
        <v>11</v>
      </c>
      <c r="G222" s="31" t="s">
        <v>14</v>
      </c>
    </row>
    <row r="223" spans="1:8" ht="15.75" customHeight="1" x14ac:dyDescent="0.2">
      <c r="A223" s="3" t="s">
        <v>5</v>
      </c>
      <c r="B223" s="3">
        <f>COUNTIF(E187:E222,A223)</f>
        <v>5</v>
      </c>
      <c r="C223" s="1" t="s">
        <v>8</v>
      </c>
      <c r="D223" s="6" t="s">
        <v>11</v>
      </c>
      <c r="E223" s="3">
        <f>COUNTIF(F187:F222,D223)</f>
        <v>29</v>
      </c>
      <c r="F223" s="3"/>
      <c r="G223" s="7"/>
      <c r="H223" s="9"/>
    </row>
    <row r="224" spans="1:8" ht="15.75" customHeight="1" x14ac:dyDescent="0.2">
      <c r="A224" s="3" t="s">
        <v>6</v>
      </c>
      <c r="B224" s="5">
        <f>COUNTIF(E187:E222,A224)</f>
        <v>31</v>
      </c>
      <c r="C224" s="1" t="s">
        <v>8</v>
      </c>
      <c r="D224" s="6" t="s">
        <v>49</v>
      </c>
      <c r="E224" s="3">
        <f>COUNTIF(F187:F222,D224)</f>
        <v>4</v>
      </c>
      <c r="F224" s="3"/>
      <c r="G224" s="7"/>
      <c r="H224" s="9"/>
    </row>
    <row r="225" spans="1:8" ht="15.75" customHeight="1" x14ac:dyDescent="0.2">
      <c r="A225" s="3" t="s">
        <v>7</v>
      </c>
      <c r="B225" s="3">
        <f>B223+B224</f>
        <v>36</v>
      </c>
      <c r="C225" s="1" t="s">
        <v>8</v>
      </c>
      <c r="D225" s="6" t="s">
        <v>12</v>
      </c>
      <c r="E225" s="3">
        <f>COUNTIF(F187:F222,D225)</f>
        <v>3</v>
      </c>
      <c r="F225" s="3"/>
      <c r="G225" s="7"/>
      <c r="H225" s="9"/>
    </row>
    <row r="226" spans="1:8" ht="15.75" customHeight="1" x14ac:dyDescent="0.2">
      <c r="D226" s="40" t="s">
        <v>13</v>
      </c>
      <c r="E226" s="41">
        <f>COUNTIF(G187:G222,D226)</f>
        <v>28</v>
      </c>
      <c r="F226" s="3"/>
      <c r="G226" s="7"/>
      <c r="H226" s="9"/>
    </row>
    <row r="227" spans="1:8" ht="15.75" customHeight="1" x14ac:dyDescent="0.2">
      <c r="D227" s="40" t="s">
        <v>14</v>
      </c>
      <c r="E227" s="41">
        <f>COUNTIF(G187:G222,D227)</f>
        <v>8</v>
      </c>
      <c r="F227" s="3"/>
      <c r="G227" s="7"/>
      <c r="H227" s="9"/>
    </row>
    <row r="228" spans="1:8" ht="15.75" customHeight="1" x14ac:dyDescent="0.2">
      <c r="A228" s="10" t="s">
        <v>1085</v>
      </c>
      <c r="B228" s="10"/>
      <c r="C228" s="10"/>
      <c r="D228" s="19"/>
      <c r="E228" s="8"/>
      <c r="F228" s="37"/>
      <c r="G228" s="37"/>
    </row>
    <row r="229" spans="1:8" ht="15.75" customHeight="1" x14ac:dyDescent="0.2">
      <c r="A229" s="88" t="s">
        <v>0</v>
      </c>
      <c r="B229" s="89"/>
      <c r="C229" s="89"/>
      <c r="D229" s="90" t="s">
        <v>1</v>
      </c>
      <c r="E229" s="92" t="s">
        <v>9</v>
      </c>
      <c r="F229" s="86" t="s">
        <v>10</v>
      </c>
      <c r="G229" s="96" t="s">
        <v>48</v>
      </c>
    </row>
    <row r="230" spans="1:8" ht="15.75" customHeight="1" x14ac:dyDescent="0.2">
      <c r="A230" s="20" t="s">
        <v>2</v>
      </c>
      <c r="B230" s="20" t="s">
        <v>3</v>
      </c>
      <c r="C230" s="21" t="s">
        <v>4</v>
      </c>
      <c r="D230" s="91"/>
      <c r="E230" s="93"/>
      <c r="F230" s="87"/>
      <c r="G230" s="97"/>
    </row>
    <row r="231" spans="1:8" ht="15.75" customHeight="1" x14ac:dyDescent="0.25">
      <c r="A231" s="16">
        <v>1</v>
      </c>
      <c r="B231" s="28">
        <v>10024</v>
      </c>
      <c r="C231" s="29" t="s">
        <v>829</v>
      </c>
      <c r="D231" s="30" t="s">
        <v>830</v>
      </c>
      <c r="E231" s="31" t="s">
        <v>6</v>
      </c>
      <c r="F231" s="31" t="s">
        <v>11</v>
      </c>
      <c r="G231" s="31" t="s">
        <v>13</v>
      </c>
    </row>
    <row r="232" spans="1:8" ht="15.75" customHeight="1" x14ac:dyDescent="0.25">
      <c r="A232" s="16">
        <v>2</v>
      </c>
      <c r="B232" s="28">
        <v>10026</v>
      </c>
      <c r="C232" s="29" t="s">
        <v>755</v>
      </c>
      <c r="D232" s="30" t="s">
        <v>756</v>
      </c>
      <c r="E232" s="31" t="s">
        <v>6</v>
      </c>
      <c r="F232" s="31" t="s">
        <v>11</v>
      </c>
      <c r="G232" s="31" t="s">
        <v>14</v>
      </c>
    </row>
    <row r="233" spans="1:8" ht="15.75" customHeight="1" x14ac:dyDescent="0.25">
      <c r="A233" s="16">
        <v>3</v>
      </c>
      <c r="B233" s="28">
        <v>10031</v>
      </c>
      <c r="C233" s="29" t="s">
        <v>759</v>
      </c>
      <c r="D233" s="30" t="s">
        <v>760</v>
      </c>
      <c r="E233" s="31" t="s">
        <v>6</v>
      </c>
      <c r="F233" s="31" t="s">
        <v>11</v>
      </c>
      <c r="G233" s="31" t="s">
        <v>14</v>
      </c>
    </row>
    <row r="234" spans="1:8" ht="15.75" customHeight="1" x14ac:dyDescent="0.25">
      <c r="A234" s="16">
        <v>4</v>
      </c>
      <c r="B234" s="28">
        <v>10038</v>
      </c>
      <c r="C234" s="29" t="s">
        <v>545</v>
      </c>
      <c r="D234" s="30" t="s">
        <v>546</v>
      </c>
      <c r="E234" s="31" t="s">
        <v>5</v>
      </c>
      <c r="F234" s="31" t="s">
        <v>49</v>
      </c>
      <c r="G234" s="31" t="s">
        <v>13</v>
      </c>
    </row>
    <row r="235" spans="1:8" ht="15.75" customHeight="1" x14ac:dyDescent="0.25">
      <c r="A235" s="16">
        <v>5</v>
      </c>
      <c r="B235" s="28">
        <v>10039</v>
      </c>
      <c r="C235" s="29" t="s">
        <v>835</v>
      </c>
      <c r="D235" s="30" t="s">
        <v>836</v>
      </c>
      <c r="E235" s="31" t="s">
        <v>6</v>
      </c>
      <c r="F235" s="31" t="s">
        <v>11</v>
      </c>
      <c r="G235" s="31" t="s">
        <v>13</v>
      </c>
    </row>
    <row r="236" spans="1:8" ht="15.75" customHeight="1" x14ac:dyDescent="0.25">
      <c r="A236" s="16">
        <v>6</v>
      </c>
      <c r="B236" s="28">
        <v>10048</v>
      </c>
      <c r="C236" s="29" t="s">
        <v>761</v>
      </c>
      <c r="D236" s="30" t="s">
        <v>762</v>
      </c>
      <c r="E236" s="31" t="s">
        <v>6</v>
      </c>
      <c r="F236" s="31" t="s">
        <v>11</v>
      </c>
      <c r="G236" s="31" t="s">
        <v>14</v>
      </c>
    </row>
    <row r="237" spans="1:8" ht="15.75" customHeight="1" x14ac:dyDescent="0.25">
      <c r="A237" s="16">
        <v>7</v>
      </c>
      <c r="B237" s="28">
        <v>10050</v>
      </c>
      <c r="C237" s="29" t="s">
        <v>763</v>
      </c>
      <c r="D237" s="30" t="s">
        <v>764</v>
      </c>
      <c r="E237" s="31" t="s">
        <v>5</v>
      </c>
      <c r="F237" s="31" t="s">
        <v>11</v>
      </c>
      <c r="G237" s="31" t="s">
        <v>14</v>
      </c>
    </row>
    <row r="238" spans="1:8" ht="15.75" customHeight="1" x14ac:dyDescent="0.25">
      <c r="A238" s="16">
        <v>8</v>
      </c>
      <c r="B238" s="28">
        <v>10054</v>
      </c>
      <c r="C238" s="29" t="s">
        <v>845</v>
      </c>
      <c r="D238" s="32" t="s">
        <v>846</v>
      </c>
      <c r="E238" s="31" t="s">
        <v>6</v>
      </c>
      <c r="F238" s="31" t="s">
        <v>11</v>
      </c>
      <c r="G238" s="31" t="s">
        <v>13</v>
      </c>
    </row>
    <row r="239" spans="1:8" ht="15.75" customHeight="1" x14ac:dyDescent="0.25">
      <c r="A239" s="16">
        <v>9</v>
      </c>
      <c r="B239" s="28">
        <v>10068</v>
      </c>
      <c r="C239" s="34" t="s">
        <v>699</v>
      </c>
      <c r="D239" s="32" t="s">
        <v>700</v>
      </c>
      <c r="E239" s="31" t="s">
        <v>5</v>
      </c>
      <c r="F239" s="31" t="s">
        <v>11</v>
      </c>
      <c r="G239" s="31" t="s">
        <v>13</v>
      </c>
    </row>
    <row r="240" spans="1:8" ht="15.75" customHeight="1" x14ac:dyDescent="0.25">
      <c r="A240" s="16">
        <v>10</v>
      </c>
      <c r="B240" s="28">
        <v>10071</v>
      </c>
      <c r="C240" s="29" t="s">
        <v>703</v>
      </c>
      <c r="D240" s="30" t="s">
        <v>704</v>
      </c>
      <c r="E240" s="31" t="s">
        <v>5</v>
      </c>
      <c r="F240" s="31" t="s">
        <v>11</v>
      </c>
      <c r="G240" s="31" t="s">
        <v>13</v>
      </c>
    </row>
    <row r="241" spans="1:7" ht="15.75" customHeight="1" x14ac:dyDescent="0.25">
      <c r="A241" s="16">
        <v>11</v>
      </c>
      <c r="B241" s="28">
        <v>10088</v>
      </c>
      <c r="C241" s="29" t="s">
        <v>709</v>
      </c>
      <c r="D241" s="30" t="s">
        <v>710</v>
      </c>
      <c r="E241" s="31" t="s">
        <v>5</v>
      </c>
      <c r="F241" s="31" t="s">
        <v>11</v>
      </c>
      <c r="G241" s="31" t="s">
        <v>13</v>
      </c>
    </row>
    <row r="242" spans="1:7" ht="15.75" customHeight="1" x14ac:dyDescent="0.25">
      <c r="A242" s="16">
        <v>12</v>
      </c>
      <c r="B242" s="28">
        <v>10100</v>
      </c>
      <c r="C242" s="29" t="s">
        <v>563</v>
      </c>
      <c r="D242" s="32" t="s">
        <v>564</v>
      </c>
      <c r="E242" s="31" t="s">
        <v>5</v>
      </c>
      <c r="F242" s="31" t="s">
        <v>11</v>
      </c>
      <c r="G242" s="31" t="s">
        <v>13</v>
      </c>
    </row>
    <row r="243" spans="1:7" ht="15.75" customHeight="1" x14ac:dyDescent="0.25">
      <c r="A243" s="16">
        <v>13</v>
      </c>
      <c r="B243" s="28">
        <v>10101</v>
      </c>
      <c r="C243" s="29" t="s">
        <v>629</v>
      </c>
      <c r="D243" s="30" t="s">
        <v>630</v>
      </c>
      <c r="E243" s="31" t="s">
        <v>5</v>
      </c>
      <c r="F243" s="31" t="s">
        <v>11</v>
      </c>
      <c r="G243" s="31" t="s">
        <v>13</v>
      </c>
    </row>
    <row r="244" spans="1:7" ht="15.75" customHeight="1" x14ac:dyDescent="0.25">
      <c r="A244" s="16">
        <v>14</v>
      </c>
      <c r="B244" s="28">
        <v>10107</v>
      </c>
      <c r="C244" s="29" t="s">
        <v>923</v>
      </c>
      <c r="D244" s="30" t="s">
        <v>924</v>
      </c>
      <c r="E244" s="31" t="s">
        <v>6</v>
      </c>
      <c r="F244" s="31" t="s">
        <v>11</v>
      </c>
      <c r="G244" s="31" t="s">
        <v>13</v>
      </c>
    </row>
    <row r="245" spans="1:7" ht="15.75" customHeight="1" x14ac:dyDescent="0.25">
      <c r="A245" s="16">
        <v>15</v>
      </c>
      <c r="B245" s="28">
        <v>10108</v>
      </c>
      <c r="C245" s="29" t="s">
        <v>775</v>
      </c>
      <c r="D245" s="30" t="s">
        <v>776</v>
      </c>
      <c r="E245" s="31" t="s">
        <v>5</v>
      </c>
      <c r="F245" s="31" t="s">
        <v>11</v>
      </c>
      <c r="G245" s="31" t="s">
        <v>14</v>
      </c>
    </row>
    <row r="246" spans="1:7" ht="15.75" customHeight="1" x14ac:dyDescent="0.25">
      <c r="A246" s="16">
        <v>16</v>
      </c>
      <c r="B246" s="28">
        <v>10111</v>
      </c>
      <c r="C246" s="26" t="s">
        <v>635</v>
      </c>
      <c r="D246" s="27" t="s">
        <v>636</v>
      </c>
      <c r="E246" s="18" t="s">
        <v>5</v>
      </c>
      <c r="F246" s="31" t="s">
        <v>12</v>
      </c>
      <c r="G246" s="31" t="s">
        <v>13</v>
      </c>
    </row>
    <row r="247" spans="1:7" ht="15.75" customHeight="1" x14ac:dyDescent="0.25">
      <c r="A247" s="16">
        <v>17</v>
      </c>
      <c r="B247" s="28">
        <v>10113</v>
      </c>
      <c r="C247" s="26" t="s">
        <v>855</v>
      </c>
      <c r="D247" s="27" t="s">
        <v>856</v>
      </c>
      <c r="E247" s="18" t="s">
        <v>5</v>
      </c>
      <c r="F247" s="31" t="s">
        <v>11</v>
      </c>
      <c r="G247" s="31" t="s">
        <v>13</v>
      </c>
    </row>
    <row r="248" spans="1:7" ht="15.75" customHeight="1" x14ac:dyDescent="0.25">
      <c r="A248" s="16">
        <v>18</v>
      </c>
      <c r="B248" s="28">
        <v>10114</v>
      </c>
      <c r="C248" s="29" t="s">
        <v>779</v>
      </c>
      <c r="D248" s="30" t="s">
        <v>780</v>
      </c>
      <c r="E248" s="31" t="s">
        <v>5</v>
      </c>
      <c r="F248" s="31" t="s">
        <v>11</v>
      </c>
      <c r="G248" s="31" t="s">
        <v>14</v>
      </c>
    </row>
    <row r="249" spans="1:7" ht="15.75" customHeight="1" x14ac:dyDescent="0.25">
      <c r="A249" s="16">
        <v>19</v>
      </c>
      <c r="B249" s="28">
        <v>10119</v>
      </c>
      <c r="C249" s="29" t="s">
        <v>861</v>
      </c>
      <c r="D249" s="32" t="s">
        <v>862</v>
      </c>
      <c r="E249" s="31" t="s">
        <v>6</v>
      </c>
      <c r="F249" s="31" t="s">
        <v>11</v>
      </c>
      <c r="G249" s="31" t="s">
        <v>13</v>
      </c>
    </row>
    <row r="250" spans="1:7" ht="15.75" customHeight="1" x14ac:dyDescent="0.25">
      <c r="A250" s="16">
        <v>20</v>
      </c>
      <c r="B250" s="28">
        <v>10125</v>
      </c>
      <c r="C250" s="29" t="s">
        <v>783</v>
      </c>
      <c r="D250" s="30" t="s">
        <v>784</v>
      </c>
      <c r="E250" s="31" t="s">
        <v>5</v>
      </c>
      <c r="F250" s="31" t="s">
        <v>11</v>
      </c>
      <c r="G250" s="31" t="s">
        <v>14</v>
      </c>
    </row>
    <row r="251" spans="1:7" ht="15.75" customHeight="1" x14ac:dyDescent="0.25">
      <c r="A251" s="16">
        <v>21</v>
      </c>
      <c r="B251" s="28">
        <v>10143</v>
      </c>
      <c r="C251" s="26" t="s">
        <v>867</v>
      </c>
      <c r="D251" s="27" t="s">
        <v>868</v>
      </c>
      <c r="E251" s="18" t="s">
        <v>6</v>
      </c>
      <c r="F251" s="18" t="s">
        <v>11</v>
      </c>
      <c r="G251" s="31" t="s">
        <v>13</v>
      </c>
    </row>
    <row r="252" spans="1:7" ht="15.75" customHeight="1" x14ac:dyDescent="0.25">
      <c r="A252" s="16">
        <v>22</v>
      </c>
      <c r="B252" s="28">
        <v>10161</v>
      </c>
      <c r="C252" s="29" t="s">
        <v>941</v>
      </c>
      <c r="D252" s="30" t="s">
        <v>942</v>
      </c>
      <c r="E252" s="31" t="s">
        <v>6</v>
      </c>
      <c r="F252" s="31" t="s">
        <v>11</v>
      </c>
      <c r="G252" s="31" t="s">
        <v>13</v>
      </c>
    </row>
    <row r="253" spans="1:7" ht="15.75" customHeight="1" x14ac:dyDescent="0.25">
      <c r="A253" s="16">
        <v>23</v>
      </c>
      <c r="B253" s="28">
        <v>10166</v>
      </c>
      <c r="C253" s="29" t="s">
        <v>791</v>
      </c>
      <c r="D253" s="30" t="s">
        <v>792</v>
      </c>
      <c r="E253" s="31" t="s">
        <v>5</v>
      </c>
      <c r="F253" s="31" t="s">
        <v>11</v>
      </c>
      <c r="G253" s="31" t="s">
        <v>14</v>
      </c>
    </row>
    <row r="254" spans="1:7" ht="15.75" customHeight="1" x14ac:dyDescent="0.25">
      <c r="A254" s="16">
        <v>24</v>
      </c>
      <c r="B254" s="28">
        <v>10168</v>
      </c>
      <c r="C254" s="29" t="s">
        <v>943</v>
      </c>
      <c r="D254" s="30" t="s">
        <v>944</v>
      </c>
      <c r="E254" s="31" t="s">
        <v>5</v>
      </c>
      <c r="F254" s="31" t="s">
        <v>11</v>
      </c>
      <c r="G254" s="31" t="s">
        <v>13</v>
      </c>
    </row>
    <row r="255" spans="1:7" ht="15.75" customHeight="1" x14ac:dyDescent="0.25">
      <c r="A255" s="16">
        <v>25</v>
      </c>
      <c r="B255" s="28">
        <v>10170</v>
      </c>
      <c r="C255" s="29" t="s">
        <v>945</v>
      </c>
      <c r="D255" s="30" t="s">
        <v>946</v>
      </c>
      <c r="E255" s="31" t="s">
        <v>5</v>
      </c>
      <c r="F255" s="31" t="s">
        <v>11</v>
      </c>
      <c r="G255" s="31" t="s">
        <v>13</v>
      </c>
    </row>
    <row r="256" spans="1:7" ht="15.75" customHeight="1" x14ac:dyDescent="0.25">
      <c r="A256" s="16">
        <v>26</v>
      </c>
      <c r="B256" s="28">
        <v>10180</v>
      </c>
      <c r="C256" s="29" t="s">
        <v>793</v>
      </c>
      <c r="D256" s="30" t="s">
        <v>794</v>
      </c>
      <c r="E256" s="31" t="s">
        <v>6</v>
      </c>
      <c r="F256" s="31" t="s">
        <v>11</v>
      </c>
      <c r="G256" s="31" t="s">
        <v>14</v>
      </c>
    </row>
    <row r="257" spans="1:8" ht="15.75" customHeight="1" x14ac:dyDescent="0.25">
      <c r="A257" s="16">
        <v>27</v>
      </c>
      <c r="B257" s="28">
        <v>10192</v>
      </c>
      <c r="C257" s="29" t="s">
        <v>659</v>
      </c>
      <c r="D257" s="32" t="s">
        <v>660</v>
      </c>
      <c r="E257" s="31" t="s">
        <v>6</v>
      </c>
      <c r="F257" s="31" t="s">
        <v>11</v>
      </c>
      <c r="G257" s="73" t="s">
        <v>14</v>
      </c>
    </row>
    <row r="258" spans="1:8" ht="15.75" customHeight="1" x14ac:dyDescent="0.25">
      <c r="A258" s="16">
        <v>28</v>
      </c>
      <c r="B258" s="28">
        <v>10207</v>
      </c>
      <c r="C258" s="29" t="s">
        <v>801</v>
      </c>
      <c r="D258" s="30" t="s">
        <v>802</v>
      </c>
      <c r="E258" s="31" t="s">
        <v>6</v>
      </c>
      <c r="F258" s="31" t="s">
        <v>11</v>
      </c>
      <c r="G258" s="31" t="s">
        <v>14</v>
      </c>
    </row>
    <row r="259" spans="1:8" ht="15.75" customHeight="1" x14ac:dyDescent="0.25">
      <c r="A259" s="16">
        <v>29</v>
      </c>
      <c r="B259" s="28">
        <v>10214</v>
      </c>
      <c r="C259" s="29" t="s">
        <v>1021</v>
      </c>
      <c r="D259" s="30" t="s">
        <v>1022</v>
      </c>
      <c r="E259" s="31" t="s">
        <v>5</v>
      </c>
      <c r="F259" s="31" t="s">
        <v>11</v>
      </c>
      <c r="G259" s="31" t="s">
        <v>14</v>
      </c>
    </row>
    <row r="260" spans="1:8" ht="15.75" customHeight="1" x14ac:dyDescent="0.25">
      <c r="A260" s="16">
        <v>30</v>
      </c>
      <c r="B260" s="28">
        <v>10217</v>
      </c>
      <c r="C260" s="29" t="s">
        <v>595</v>
      </c>
      <c r="D260" s="30" t="s">
        <v>596</v>
      </c>
      <c r="E260" s="31" t="s">
        <v>5</v>
      </c>
      <c r="F260" s="31" t="s">
        <v>11</v>
      </c>
      <c r="G260" s="31" t="s">
        <v>13</v>
      </c>
    </row>
    <row r="261" spans="1:8" ht="15.75" customHeight="1" x14ac:dyDescent="0.25">
      <c r="A261" s="16">
        <v>31</v>
      </c>
      <c r="B261" s="28">
        <v>10231</v>
      </c>
      <c r="C261" s="29" t="s">
        <v>959</v>
      </c>
      <c r="D261" s="30" t="s">
        <v>960</v>
      </c>
      <c r="E261" s="31" t="s">
        <v>6</v>
      </c>
      <c r="F261" s="31" t="s">
        <v>11</v>
      </c>
      <c r="G261" s="31" t="s">
        <v>13</v>
      </c>
    </row>
    <row r="262" spans="1:8" ht="15.75" customHeight="1" x14ac:dyDescent="0.25">
      <c r="A262" s="16">
        <v>32</v>
      </c>
      <c r="B262" s="28">
        <v>10234</v>
      </c>
      <c r="C262" s="29" t="s">
        <v>1025</v>
      </c>
      <c r="D262" s="30" t="s">
        <v>1026</v>
      </c>
      <c r="E262" s="31" t="s">
        <v>6</v>
      </c>
      <c r="F262" s="31" t="s">
        <v>11</v>
      </c>
      <c r="G262" s="31" t="s">
        <v>14</v>
      </c>
    </row>
    <row r="263" spans="1:8" ht="15.75" customHeight="1" x14ac:dyDescent="0.25">
      <c r="A263" s="16">
        <v>33</v>
      </c>
      <c r="B263" s="28">
        <v>10261</v>
      </c>
      <c r="C263" s="29" t="s">
        <v>821</v>
      </c>
      <c r="D263" s="32" t="s">
        <v>822</v>
      </c>
      <c r="E263" s="31" t="s">
        <v>6</v>
      </c>
      <c r="F263" s="31" t="s">
        <v>11</v>
      </c>
      <c r="G263" s="31" t="s">
        <v>14</v>
      </c>
    </row>
    <row r="264" spans="1:8" ht="15.75" customHeight="1" x14ac:dyDescent="0.25">
      <c r="A264" s="16">
        <v>34</v>
      </c>
      <c r="B264" s="28">
        <v>10262</v>
      </c>
      <c r="C264" s="29" t="s">
        <v>895</v>
      </c>
      <c r="D264" s="30" t="s">
        <v>896</v>
      </c>
      <c r="E264" s="31" t="s">
        <v>5</v>
      </c>
      <c r="F264" s="31" t="s">
        <v>11</v>
      </c>
      <c r="G264" s="31" t="s">
        <v>13</v>
      </c>
    </row>
    <row r="265" spans="1:8" ht="15.75" customHeight="1" x14ac:dyDescent="0.25">
      <c r="A265" s="16">
        <v>35</v>
      </c>
      <c r="B265" s="33">
        <v>10266</v>
      </c>
      <c r="C265" s="34" t="s">
        <v>679</v>
      </c>
      <c r="D265" s="35" t="s">
        <v>680</v>
      </c>
      <c r="E265" s="36" t="s">
        <v>6</v>
      </c>
      <c r="F265" s="36" t="s">
        <v>12</v>
      </c>
      <c r="G265" s="31" t="s">
        <v>14</v>
      </c>
    </row>
    <row r="266" spans="1:8" ht="15.75" customHeight="1" x14ac:dyDescent="0.25">
      <c r="A266" s="16">
        <v>36</v>
      </c>
      <c r="B266" s="28"/>
      <c r="C266" s="29"/>
      <c r="D266" s="30"/>
      <c r="E266" s="31"/>
      <c r="F266" s="31"/>
      <c r="G266" s="31"/>
    </row>
    <row r="267" spans="1:8" ht="15.75" customHeight="1" x14ac:dyDescent="0.2">
      <c r="A267" s="3" t="s">
        <v>5</v>
      </c>
      <c r="B267" s="3">
        <f>COUNTIF(E231:E266,A267)</f>
        <v>18</v>
      </c>
      <c r="C267" s="1" t="s">
        <v>8</v>
      </c>
      <c r="D267" s="6" t="s">
        <v>11</v>
      </c>
      <c r="E267" s="3">
        <f>COUNTIF(F231:F266,D267)</f>
        <v>32</v>
      </c>
      <c r="F267" s="3"/>
      <c r="G267" s="7"/>
      <c r="H267" s="9"/>
    </row>
    <row r="268" spans="1:8" ht="15.75" customHeight="1" x14ac:dyDescent="0.2">
      <c r="A268" s="3" t="s">
        <v>6</v>
      </c>
      <c r="B268" s="5">
        <f>COUNTIF(E231:E266,A268)</f>
        <v>17</v>
      </c>
      <c r="C268" s="1" t="s">
        <v>8</v>
      </c>
      <c r="D268" s="6" t="s">
        <v>49</v>
      </c>
      <c r="E268" s="3">
        <f>COUNTIF(F231:F266,D268)</f>
        <v>1</v>
      </c>
      <c r="F268" s="3"/>
      <c r="G268" s="7"/>
      <c r="H268" s="9"/>
    </row>
    <row r="269" spans="1:8" ht="15.75" customHeight="1" x14ac:dyDescent="0.2">
      <c r="A269" s="3" t="s">
        <v>7</v>
      </c>
      <c r="B269" s="3">
        <f>B267+B268</f>
        <v>35</v>
      </c>
      <c r="C269" s="1" t="s">
        <v>8</v>
      </c>
      <c r="D269" s="6" t="s">
        <v>12</v>
      </c>
      <c r="E269" s="3">
        <f>COUNTIF(F231:F266,D269)</f>
        <v>2</v>
      </c>
      <c r="F269" s="3"/>
      <c r="G269" s="7"/>
      <c r="H269" s="9"/>
    </row>
    <row r="270" spans="1:8" ht="15.75" customHeight="1" x14ac:dyDescent="0.2">
      <c r="D270" s="40" t="s">
        <v>13</v>
      </c>
      <c r="E270" s="41">
        <f>COUNTIF(G231:G266,D270)</f>
        <v>20</v>
      </c>
      <c r="F270" s="3"/>
      <c r="G270" s="7"/>
      <c r="H270" s="9"/>
    </row>
    <row r="271" spans="1:8" ht="15.75" customHeight="1" x14ac:dyDescent="0.2">
      <c r="D271" s="40" t="s">
        <v>14</v>
      </c>
      <c r="E271" s="41">
        <f>COUNTIF(G231:G266,D271)</f>
        <v>15</v>
      </c>
      <c r="F271" s="3"/>
      <c r="G271" s="7"/>
      <c r="H271" s="9"/>
    </row>
    <row r="272" spans="1:8" ht="15.75" customHeight="1" x14ac:dyDescent="0.2">
      <c r="A272" s="10" t="s">
        <v>1086</v>
      </c>
      <c r="B272" s="10"/>
      <c r="C272" s="10"/>
      <c r="D272" s="19"/>
      <c r="E272" s="8"/>
      <c r="F272" s="8"/>
      <c r="G272" s="7"/>
    </row>
    <row r="273" spans="1:7" ht="15.75" customHeight="1" x14ac:dyDescent="0.2">
      <c r="A273" s="88" t="s">
        <v>0</v>
      </c>
      <c r="B273" s="89"/>
      <c r="C273" s="89"/>
      <c r="D273" s="90" t="s">
        <v>1</v>
      </c>
      <c r="E273" s="92" t="s">
        <v>9</v>
      </c>
      <c r="F273" s="86" t="s">
        <v>10</v>
      </c>
      <c r="G273" s="96" t="s">
        <v>48</v>
      </c>
    </row>
    <row r="274" spans="1:7" ht="15.75" customHeight="1" x14ac:dyDescent="0.2">
      <c r="A274" s="20" t="s">
        <v>2</v>
      </c>
      <c r="B274" s="20" t="s">
        <v>3</v>
      </c>
      <c r="C274" s="21" t="s">
        <v>4</v>
      </c>
      <c r="D274" s="91"/>
      <c r="E274" s="93"/>
      <c r="F274" s="87"/>
      <c r="G274" s="97"/>
    </row>
    <row r="275" spans="1:7" ht="15.75" customHeight="1" x14ac:dyDescent="0.25">
      <c r="A275" s="16">
        <v>1</v>
      </c>
      <c r="B275" s="28">
        <v>10017</v>
      </c>
      <c r="C275" s="29" t="s">
        <v>611</v>
      </c>
      <c r="D275" s="32" t="s">
        <v>612</v>
      </c>
      <c r="E275" s="31" t="s">
        <v>5</v>
      </c>
      <c r="F275" s="31" t="s">
        <v>12</v>
      </c>
      <c r="G275" s="31" t="s">
        <v>13</v>
      </c>
    </row>
    <row r="276" spans="1:7" ht="15.75" customHeight="1" x14ac:dyDescent="0.25">
      <c r="A276" s="16">
        <v>2</v>
      </c>
      <c r="B276" s="28">
        <v>10021</v>
      </c>
      <c r="C276" s="29" t="s">
        <v>685</v>
      </c>
      <c r="D276" s="32" t="s">
        <v>686</v>
      </c>
      <c r="E276" s="31" t="s">
        <v>5</v>
      </c>
      <c r="F276" s="31" t="s">
        <v>11</v>
      </c>
      <c r="G276" s="31" t="s">
        <v>13</v>
      </c>
    </row>
    <row r="277" spans="1:7" ht="15.75" customHeight="1" x14ac:dyDescent="0.25">
      <c r="A277" s="16">
        <v>3</v>
      </c>
      <c r="B277" s="28">
        <v>10032</v>
      </c>
      <c r="C277" s="29" t="s">
        <v>899</v>
      </c>
      <c r="D277" s="30" t="s">
        <v>900</v>
      </c>
      <c r="E277" s="31" t="s">
        <v>5</v>
      </c>
      <c r="F277" s="31" t="s">
        <v>11</v>
      </c>
      <c r="G277" s="31" t="s">
        <v>13</v>
      </c>
    </row>
    <row r="278" spans="1:7" ht="15.75" customHeight="1" x14ac:dyDescent="0.25">
      <c r="A278" s="16">
        <v>4</v>
      </c>
      <c r="B278" s="28">
        <v>10053</v>
      </c>
      <c r="C278" s="29" t="s">
        <v>843</v>
      </c>
      <c r="D278" s="30" t="s">
        <v>844</v>
      </c>
      <c r="E278" s="31" t="s">
        <v>6</v>
      </c>
      <c r="F278" s="31" t="s">
        <v>11</v>
      </c>
      <c r="G278" s="31" t="s">
        <v>13</v>
      </c>
    </row>
    <row r="279" spans="1:7" ht="15.75" customHeight="1" x14ac:dyDescent="0.25">
      <c r="A279" s="16">
        <v>5</v>
      </c>
      <c r="B279" s="28">
        <v>10058</v>
      </c>
      <c r="C279" s="29" t="s">
        <v>905</v>
      </c>
      <c r="D279" s="30" t="s">
        <v>906</v>
      </c>
      <c r="E279" s="31" t="s">
        <v>6</v>
      </c>
      <c r="F279" s="31" t="s">
        <v>11</v>
      </c>
      <c r="G279" s="31" t="s">
        <v>13</v>
      </c>
    </row>
    <row r="280" spans="1:7" ht="15.75" customHeight="1" x14ac:dyDescent="0.25">
      <c r="A280" s="16">
        <v>6</v>
      </c>
      <c r="B280" s="28">
        <v>10061</v>
      </c>
      <c r="C280" s="29" t="s">
        <v>907</v>
      </c>
      <c r="D280" s="30" t="s">
        <v>908</v>
      </c>
      <c r="E280" s="31" t="s">
        <v>6</v>
      </c>
      <c r="F280" s="31" t="s">
        <v>11</v>
      </c>
      <c r="G280" s="31" t="s">
        <v>13</v>
      </c>
    </row>
    <row r="281" spans="1:7" ht="15.75" customHeight="1" x14ac:dyDescent="0.25">
      <c r="A281" s="16">
        <v>7</v>
      </c>
      <c r="B281" s="28">
        <v>10074</v>
      </c>
      <c r="C281" s="29" t="s">
        <v>911</v>
      </c>
      <c r="D281" s="30" t="s">
        <v>912</v>
      </c>
      <c r="E281" s="31" t="s">
        <v>6</v>
      </c>
      <c r="F281" s="31" t="s">
        <v>11</v>
      </c>
      <c r="G281" s="31" t="s">
        <v>13</v>
      </c>
    </row>
    <row r="282" spans="1:7" ht="15.75" customHeight="1" x14ac:dyDescent="0.25">
      <c r="A282" s="16">
        <v>8</v>
      </c>
      <c r="B282" s="28">
        <v>10081</v>
      </c>
      <c r="C282" s="29" t="s">
        <v>913</v>
      </c>
      <c r="D282" s="30" t="s">
        <v>914</v>
      </c>
      <c r="E282" s="31" t="s">
        <v>5</v>
      </c>
      <c r="F282" s="31" t="s">
        <v>11</v>
      </c>
      <c r="G282" s="31" t="s">
        <v>13</v>
      </c>
    </row>
    <row r="283" spans="1:7" ht="15.75" customHeight="1" x14ac:dyDescent="0.25">
      <c r="A283" s="16">
        <v>9</v>
      </c>
      <c r="B283" s="28">
        <v>10094</v>
      </c>
      <c r="C283" s="29" t="s">
        <v>987</v>
      </c>
      <c r="D283" s="30" t="s">
        <v>988</v>
      </c>
      <c r="E283" s="31" t="s">
        <v>6</v>
      </c>
      <c r="F283" s="31" t="s">
        <v>11</v>
      </c>
      <c r="G283" s="31" t="s">
        <v>14</v>
      </c>
    </row>
    <row r="284" spans="1:7" ht="15.75" customHeight="1" x14ac:dyDescent="0.25">
      <c r="A284" s="16">
        <v>10</v>
      </c>
      <c r="B284" s="28">
        <v>10098</v>
      </c>
      <c r="C284" s="29" t="s">
        <v>773</v>
      </c>
      <c r="D284" s="30" t="s">
        <v>774</v>
      </c>
      <c r="E284" s="31" t="s">
        <v>5</v>
      </c>
      <c r="F284" s="31" t="s">
        <v>11</v>
      </c>
      <c r="G284" s="31" t="s">
        <v>14</v>
      </c>
    </row>
    <row r="285" spans="1:7" ht="15.75" customHeight="1" x14ac:dyDescent="0.25">
      <c r="A285" s="16">
        <v>11</v>
      </c>
      <c r="B285" s="28">
        <v>10103</v>
      </c>
      <c r="C285" s="29" t="s">
        <v>631</v>
      </c>
      <c r="D285" s="30" t="s">
        <v>632</v>
      </c>
      <c r="E285" s="31" t="s">
        <v>5</v>
      </c>
      <c r="F285" s="31" t="s">
        <v>12</v>
      </c>
      <c r="G285" s="73" t="s">
        <v>13</v>
      </c>
    </row>
    <row r="286" spans="1:7" ht="15.75" customHeight="1" x14ac:dyDescent="0.25">
      <c r="A286" s="16">
        <v>12</v>
      </c>
      <c r="B286" s="28">
        <v>10105</v>
      </c>
      <c r="C286" s="29" t="s">
        <v>713</v>
      </c>
      <c r="D286" s="30" t="s">
        <v>714</v>
      </c>
      <c r="E286" s="31" t="s">
        <v>5</v>
      </c>
      <c r="F286" s="31" t="s">
        <v>11</v>
      </c>
      <c r="G286" s="31" t="s">
        <v>13</v>
      </c>
    </row>
    <row r="287" spans="1:7" ht="15.75" customHeight="1" x14ac:dyDescent="0.25">
      <c r="A287" s="16">
        <v>13</v>
      </c>
      <c r="B287" s="28">
        <v>10106</v>
      </c>
      <c r="C287" s="29" t="s">
        <v>633</v>
      </c>
      <c r="D287" s="30" t="s">
        <v>634</v>
      </c>
      <c r="E287" s="31" t="s">
        <v>5</v>
      </c>
      <c r="F287" s="31" t="s">
        <v>11</v>
      </c>
      <c r="G287" s="31" t="s">
        <v>14</v>
      </c>
    </row>
    <row r="288" spans="1:7" ht="15.75" customHeight="1" x14ac:dyDescent="0.25">
      <c r="A288" s="16">
        <v>14</v>
      </c>
      <c r="B288" s="28">
        <v>10121</v>
      </c>
      <c r="C288" s="29" t="s">
        <v>863</v>
      </c>
      <c r="D288" s="30" t="s">
        <v>864</v>
      </c>
      <c r="E288" s="31" t="s">
        <v>5</v>
      </c>
      <c r="F288" s="31" t="s">
        <v>11</v>
      </c>
      <c r="G288" s="31" t="s">
        <v>13</v>
      </c>
    </row>
    <row r="289" spans="1:7" ht="15.75" customHeight="1" x14ac:dyDescent="0.25">
      <c r="A289" s="16">
        <v>15</v>
      </c>
      <c r="B289" s="28">
        <v>10123</v>
      </c>
      <c r="C289" s="29" t="s">
        <v>717</v>
      </c>
      <c r="D289" s="30" t="s">
        <v>718</v>
      </c>
      <c r="E289" s="31" t="s">
        <v>6</v>
      </c>
      <c r="F289" s="31" t="s">
        <v>11</v>
      </c>
      <c r="G289" s="31" t="s">
        <v>13</v>
      </c>
    </row>
    <row r="290" spans="1:7" ht="15.75" customHeight="1" x14ac:dyDescent="0.25">
      <c r="A290" s="16">
        <v>16</v>
      </c>
      <c r="B290" s="28">
        <v>10126</v>
      </c>
      <c r="C290" s="29" t="s">
        <v>991</v>
      </c>
      <c r="D290" s="30" t="s">
        <v>992</v>
      </c>
      <c r="E290" s="31" t="s">
        <v>6</v>
      </c>
      <c r="F290" s="31" t="s">
        <v>11</v>
      </c>
      <c r="G290" s="31" t="s">
        <v>14</v>
      </c>
    </row>
    <row r="291" spans="1:7" ht="15.75" customHeight="1" x14ac:dyDescent="0.25">
      <c r="A291" s="16">
        <v>17</v>
      </c>
      <c r="B291" s="28">
        <v>10132</v>
      </c>
      <c r="C291" s="29" t="s">
        <v>719</v>
      </c>
      <c r="D291" s="32" t="s">
        <v>720</v>
      </c>
      <c r="E291" s="31" t="s">
        <v>6</v>
      </c>
      <c r="F291" s="31" t="s">
        <v>11</v>
      </c>
      <c r="G291" s="31" t="s">
        <v>13</v>
      </c>
    </row>
    <row r="292" spans="1:7" ht="15.75" customHeight="1" x14ac:dyDescent="0.25">
      <c r="A292" s="16">
        <v>18</v>
      </c>
      <c r="B292" s="28">
        <v>10139</v>
      </c>
      <c r="C292" s="29" t="s">
        <v>573</v>
      </c>
      <c r="D292" s="30" t="s">
        <v>574</v>
      </c>
      <c r="E292" s="31" t="s">
        <v>6</v>
      </c>
      <c r="F292" s="31" t="s">
        <v>11</v>
      </c>
      <c r="G292" s="31" t="s">
        <v>13</v>
      </c>
    </row>
    <row r="293" spans="1:7" ht="15.75" customHeight="1" x14ac:dyDescent="0.25">
      <c r="A293" s="16">
        <v>19</v>
      </c>
      <c r="B293" s="28">
        <v>10141</v>
      </c>
      <c r="C293" s="26" t="s">
        <v>575</v>
      </c>
      <c r="D293" s="27" t="s">
        <v>576</v>
      </c>
      <c r="E293" s="18" t="s">
        <v>5</v>
      </c>
      <c r="F293" s="31" t="s">
        <v>11</v>
      </c>
      <c r="G293" s="31" t="s">
        <v>13</v>
      </c>
    </row>
    <row r="294" spans="1:7" ht="15.75" customHeight="1" x14ac:dyDescent="0.25">
      <c r="A294" s="16">
        <v>20</v>
      </c>
      <c r="B294" s="28">
        <v>10142</v>
      </c>
      <c r="C294" s="29" t="s">
        <v>787</v>
      </c>
      <c r="D294" s="30" t="s">
        <v>788</v>
      </c>
      <c r="E294" s="31" t="s">
        <v>6</v>
      </c>
      <c r="F294" s="31" t="s">
        <v>11</v>
      </c>
      <c r="G294" s="31" t="s">
        <v>14</v>
      </c>
    </row>
    <row r="295" spans="1:7" ht="15.75" customHeight="1" x14ac:dyDescent="0.25">
      <c r="A295" s="16">
        <v>21</v>
      </c>
      <c r="B295" s="28">
        <v>10150</v>
      </c>
      <c r="C295" s="29" t="s">
        <v>869</v>
      </c>
      <c r="D295" s="30" t="s">
        <v>870</v>
      </c>
      <c r="E295" s="31" t="s">
        <v>5</v>
      </c>
      <c r="F295" s="31" t="s">
        <v>11</v>
      </c>
      <c r="G295" s="31" t="s">
        <v>13</v>
      </c>
    </row>
    <row r="296" spans="1:7" ht="15.75" customHeight="1" x14ac:dyDescent="0.25">
      <c r="A296" s="16">
        <v>22</v>
      </c>
      <c r="B296" s="28">
        <v>10153</v>
      </c>
      <c r="C296" s="29" t="s">
        <v>725</v>
      </c>
      <c r="D296" s="30" t="s">
        <v>726</v>
      </c>
      <c r="E296" s="31" t="s">
        <v>5</v>
      </c>
      <c r="F296" s="31" t="s">
        <v>11</v>
      </c>
      <c r="G296" s="31" t="s">
        <v>13</v>
      </c>
    </row>
    <row r="297" spans="1:7" ht="15.75" customHeight="1" x14ac:dyDescent="0.25">
      <c r="A297" s="16">
        <v>23</v>
      </c>
      <c r="B297" s="28">
        <v>10159</v>
      </c>
      <c r="C297" s="29" t="s">
        <v>645</v>
      </c>
      <c r="D297" s="30" t="s">
        <v>646</v>
      </c>
      <c r="E297" s="31" t="s">
        <v>6</v>
      </c>
      <c r="F297" s="31" t="s">
        <v>11</v>
      </c>
      <c r="G297" s="31" t="s">
        <v>13</v>
      </c>
    </row>
    <row r="298" spans="1:7" ht="15.75" customHeight="1" x14ac:dyDescent="0.25">
      <c r="A298" s="16">
        <v>24</v>
      </c>
      <c r="B298" s="28">
        <v>10160</v>
      </c>
      <c r="C298" s="29" t="s">
        <v>647</v>
      </c>
      <c r="D298" s="30" t="s">
        <v>648</v>
      </c>
      <c r="E298" s="31" t="s">
        <v>6</v>
      </c>
      <c r="F298" s="31" t="s">
        <v>11</v>
      </c>
      <c r="G298" s="31" t="s">
        <v>13</v>
      </c>
    </row>
    <row r="299" spans="1:7" ht="15.75" customHeight="1" x14ac:dyDescent="0.25">
      <c r="A299" s="16">
        <v>25</v>
      </c>
      <c r="B299" s="28">
        <v>10163</v>
      </c>
      <c r="C299" s="29" t="s">
        <v>871</v>
      </c>
      <c r="D299" s="32" t="s">
        <v>872</v>
      </c>
      <c r="E299" s="31" t="s">
        <v>5</v>
      </c>
      <c r="F299" s="31" t="s">
        <v>11</v>
      </c>
      <c r="G299" s="31" t="s">
        <v>13</v>
      </c>
    </row>
    <row r="300" spans="1:7" ht="15.75" customHeight="1" x14ac:dyDescent="0.25">
      <c r="A300" s="16">
        <v>26</v>
      </c>
      <c r="B300" s="28">
        <v>10176</v>
      </c>
      <c r="C300" s="29" t="s">
        <v>733</v>
      </c>
      <c r="D300" s="30" t="s">
        <v>734</v>
      </c>
      <c r="E300" s="31" t="s">
        <v>6</v>
      </c>
      <c r="F300" s="31" t="s">
        <v>11</v>
      </c>
      <c r="G300" s="31" t="s">
        <v>13</v>
      </c>
    </row>
    <row r="301" spans="1:7" ht="15.75" customHeight="1" x14ac:dyDescent="0.25">
      <c r="A301" s="16">
        <v>27</v>
      </c>
      <c r="B301" s="28">
        <v>10196</v>
      </c>
      <c r="C301" s="29" t="s">
        <v>1017</v>
      </c>
      <c r="D301" s="30" t="s">
        <v>1018</v>
      </c>
      <c r="E301" s="31" t="s">
        <v>6</v>
      </c>
      <c r="F301" s="31" t="s">
        <v>11</v>
      </c>
      <c r="G301" s="31" t="s">
        <v>14</v>
      </c>
    </row>
    <row r="302" spans="1:7" ht="15.75" customHeight="1" x14ac:dyDescent="0.25">
      <c r="A302" s="16">
        <v>28</v>
      </c>
      <c r="B302" s="28">
        <v>10208</v>
      </c>
      <c r="C302" s="29" t="s">
        <v>803</v>
      </c>
      <c r="D302" s="30" t="s">
        <v>804</v>
      </c>
      <c r="E302" s="31" t="s">
        <v>5</v>
      </c>
      <c r="F302" s="31" t="s">
        <v>11</v>
      </c>
      <c r="G302" s="31" t="s">
        <v>14</v>
      </c>
    </row>
    <row r="303" spans="1:7" ht="15.75" customHeight="1" x14ac:dyDescent="0.25">
      <c r="A303" s="16">
        <v>29</v>
      </c>
      <c r="B303" s="28">
        <v>10209</v>
      </c>
      <c r="C303" s="29" t="s">
        <v>805</v>
      </c>
      <c r="D303" s="32" t="s">
        <v>806</v>
      </c>
      <c r="E303" s="31" t="s">
        <v>5</v>
      </c>
      <c r="F303" s="31" t="s">
        <v>11</v>
      </c>
      <c r="G303" s="31" t="s">
        <v>14</v>
      </c>
    </row>
    <row r="304" spans="1:7" ht="15.75" customHeight="1" x14ac:dyDescent="0.25">
      <c r="A304" s="16">
        <v>30</v>
      </c>
      <c r="B304" s="28">
        <v>10210</v>
      </c>
      <c r="C304" s="29" t="s">
        <v>881</v>
      </c>
      <c r="D304" s="30" t="s">
        <v>882</v>
      </c>
      <c r="E304" s="31" t="s">
        <v>5</v>
      </c>
      <c r="F304" s="31" t="s">
        <v>11</v>
      </c>
      <c r="G304" s="31" t="s">
        <v>13</v>
      </c>
    </row>
    <row r="305" spans="1:8" ht="15.75" customHeight="1" x14ac:dyDescent="0.25">
      <c r="A305" s="16">
        <v>31</v>
      </c>
      <c r="B305" s="28">
        <v>10229</v>
      </c>
      <c r="C305" s="29" t="s">
        <v>885</v>
      </c>
      <c r="D305" s="30" t="s">
        <v>886</v>
      </c>
      <c r="E305" s="31" t="s">
        <v>6</v>
      </c>
      <c r="F305" s="31" t="s">
        <v>11</v>
      </c>
      <c r="G305" s="31" t="s">
        <v>13</v>
      </c>
    </row>
    <row r="306" spans="1:8" ht="15.75" customHeight="1" x14ac:dyDescent="0.25">
      <c r="A306" s="16">
        <v>32</v>
      </c>
      <c r="B306" s="28">
        <v>10236</v>
      </c>
      <c r="C306" s="29" t="s">
        <v>961</v>
      </c>
      <c r="D306" s="30" t="s">
        <v>962</v>
      </c>
      <c r="E306" s="31" t="s">
        <v>5</v>
      </c>
      <c r="F306" s="31" t="s">
        <v>11</v>
      </c>
      <c r="G306" s="31" t="s">
        <v>13</v>
      </c>
    </row>
    <row r="307" spans="1:8" ht="15.75" customHeight="1" x14ac:dyDescent="0.25">
      <c r="A307" s="16">
        <v>33</v>
      </c>
      <c r="B307" s="28">
        <v>10244</v>
      </c>
      <c r="C307" s="29" t="s">
        <v>1031</v>
      </c>
      <c r="D307" s="32" t="s">
        <v>1032</v>
      </c>
      <c r="E307" s="31" t="s">
        <v>6</v>
      </c>
      <c r="F307" s="31" t="s">
        <v>11</v>
      </c>
      <c r="G307" s="31" t="s">
        <v>14</v>
      </c>
    </row>
    <row r="308" spans="1:8" ht="15.75" customHeight="1" x14ac:dyDescent="0.25">
      <c r="A308" s="16">
        <v>34</v>
      </c>
      <c r="B308" s="28">
        <v>10260</v>
      </c>
      <c r="C308" s="26" t="s">
        <v>753</v>
      </c>
      <c r="D308" s="27" t="s">
        <v>754</v>
      </c>
      <c r="E308" s="18" t="s">
        <v>6</v>
      </c>
      <c r="F308" s="31" t="s">
        <v>11</v>
      </c>
      <c r="G308" s="31" t="s">
        <v>13</v>
      </c>
    </row>
    <row r="309" spans="1:8" ht="15.75" customHeight="1" x14ac:dyDescent="0.25">
      <c r="A309" s="16">
        <v>35</v>
      </c>
      <c r="B309" s="28">
        <v>10264</v>
      </c>
      <c r="C309" s="29" t="s">
        <v>1037</v>
      </c>
      <c r="D309" s="32" t="s">
        <v>1038</v>
      </c>
      <c r="E309" s="31" t="s">
        <v>6</v>
      </c>
      <c r="F309" s="31" t="s">
        <v>11</v>
      </c>
      <c r="G309" s="31" t="s">
        <v>14</v>
      </c>
    </row>
    <row r="310" spans="1:8" ht="15.75" customHeight="1" x14ac:dyDescent="0.25">
      <c r="A310" s="16">
        <v>36</v>
      </c>
      <c r="B310" s="28">
        <v>10268</v>
      </c>
      <c r="C310" s="29" t="s">
        <v>681</v>
      </c>
      <c r="D310" s="30" t="s">
        <v>682</v>
      </c>
      <c r="E310" s="31" t="s">
        <v>5</v>
      </c>
      <c r="F310" s="31" t="s">
        <v>11</v>
      </c>
      <c r="G310" s="31" t="s">
        <v>13</v>
      </c>
    </row>
    <row r="311" spans="1:8" ht="15.75" customHeight="1" x14ac:dyDescent="0.2">
      <c r="A311" s="3" t="s">
        <v>5</v>
      </c>
      <c r="B311" s="3">
        <f>COUNTIF(E275:E310,A311)</f>
        <v>18</v>
      </c>
      <c r="C311" s="1" t="s">
        <v>8</v>
      </c>
      <c r="D311" s="6" t="s">
        <v>11</v>
      </c>
      <c r="E311" s="3">
        <f>COUNTIF(F275:F310,D311)</f>
        <v>34</v>
      </c>
      <c r="F311" s="3"/>
      <c r="G311" s="7"/>
      <c r="H311" s="9"/>
    </row>
    <row r="312" spans="1:8" ht="15.75" customHeight="1" x14ac:dyDescent="0.2">
      <c r="A312" s="3" t="s">
        <v>6</v>
      </c>
      <c r="B312" s="5">
        <f>COUNTIF(E275:E310,A312)</f>
        <v>18</v>
      </c>
      <c r="C312" s="1" t="s">
        <v>8</v>
      </c>
      <c r="D312" s="6" t="s">
        <v>49</v>
      </c>
      <c r="E312" s="3">
        <f>COUNTIF(F275:F310,D312)</f>
        <v>0</v>
      </c>
      <c r="F312" s="3"/>
      <c r="G312" s="7"/>
      <c r="H312" s="9"/>
    </row>
    <row r="313" spans="1:8" ht="15.75" customHeight="1" x14ac:dyDescent="0.2">
      <c r="A313" s="3" t="s">
        <v>7</v>
      </c>
      <c r="B313" s="3">
        <f>B311+B312</f>
        <v>36</v>
      </c>
      <c r="C313" s="1" t="s">
        <v>8</v>
      </c>
      <c r="D313" s="6" t="s">
        <v>12</v>
      </c>
      <c r="E313" s="3">
        <f>COUNTIF(F275:F310,D313)</f>
        <v>2</v>
      </c>
      <c r="F313" s="3"/>
      <c r="G313" s="7"/>
      <c r="H313" s="9"/>
    </row>
    <row r="314" spans="1:8" ht="15.75" customHeight="1" x14ac:dyDescent="0.2">
      <c r="D314" s="40" t="s">
        <v>13</v>
      </c>
      <c r="E314" s="41">
        <f>COUNTIF(G275:G310,D314)</f>
        <v>26</v>
      </c>
      <c r="F314" s="3"/>
      <c r="G314" s="7"/>
      <c r="H314" s="9"/>
    </row>
    <row r="315" spans="1:8" ht="15.75" customHeight="1" x14ac:dyDescent="0.2">
      <c r="D315" s="40" t="s">
        <v>14</v>
      </c>
      <c r="E315" s="41">
        <f>COUNTIF(G275:G310,D315)</f>
        <v>10</v>
      </c>
      <c r="F315" s="3"/>
      <c r="G315" s="7"/>
      <c r="H315" s="9"/>
    </row>
    <row r="316" spans="1:8" x14ac:dyDescent="0.2">
      <c r="A316" s="9"/>
      <c r="B316" s="9"/>
      <c r="C316" s="9"/>
      <c r="D316" s="9"/>
      <c r="E316" s="9"/>
      <c r="F316" s="9"/>
      <c r="G316" s="9"/>
    </row>
    <row r="317" spans="1:8" x14ac:dyDescent="0.2">
      <c r="A317" s="9"/>
      <c r="B317" s="9"/>
      <c r="C317" s="9"/>
      <c r="D317" s="9"/>
      <c r="E317" s="9"/>
      <c r="F317" s="9"/>
      <c r="G317" s="9"/>
    </row>
    <row r="360" x14ac:dyDescent="0.2"/>
  </sheetData>
  <sortState xmlns:xlrd2="http://schemas.microsoft.com/office/spreadsheetml/2017/richdata2" ref="B275:G310">
    <sortCondition ref="D275:D310"/>
  </sortState>
  <mergeCells count="40">
    <mergeCell ref="G185:G186"/>
    <mergeCell ref="G273:G274"/>
    <mergeCell ref="G9:G10"/>
    <mergeCell ref="G53:G54"/>
    <mergeCell ref="G97:G98"/>
    <mergeCell ref="G141:G142"/>
    <mergeCell ref="G229:G230"/>
    <mergeCell ref="A1:E1"/>
    <mergeCell ref="A2:E2"/>
    <mergeCell ref="A3:E3"/>
    <mergeCell ref="A4:E4"/>
    <mergeCell ref="A9:C9"/>
    <mergeCell ref="D9:D10"/>
    <mergeCell ref="E9:E10"/>
    <mergeCell ref="A7:G7"/>
    <mergeCell ref="F97:F98"/>
    <mergeCell ref="A97:C97"/>
    <mergeCell ref="D97:D98"/>
    <mergeCell ref="E97:E98"/>
    <mergeCell ref="F9:F10"/>
    <mergeCell ref="A53:C53"/>
    <mergeCell ref="D53:D54"/>
    <mergeCell ref="E53:E54"/>
    <mergeCell ref="F53:F54"/>
    <mergeCell ref="F273:F274"/>
    <mergeCell ref="A273:C273"/>
    <mergeCell ref="D273:D274"/>
    <mergeCell ref="E273:E274"/>
    <mergeCell ref="A141:C141"/>
    <mergeCell ref="D141:D142"/>
    <mergeCell ref="E141:E142"/>
    <mergeCell ref="F141:F142"/>
    <mergeCell ref="A185:C185"/>
    <mergeCell ref="D185:D186"/>
    <mergeCell ref="E185:E186"/>
    <mergeCell ref="F185:F186"/>
    <mergeCell ref="A229:C229"/>
    <mergeCell ref="D229:D230"/>
    <mergeCell ref="E229:E230"/>
    <mergeCell ref="F229:F230"/>
  </mergeCells>
  <phoneticPr fontId="3" type="noConversion"/>
  <pageMargins left="1.03" right="0.39370078740157483" top="0.39370078740157483" bottom="0.34" header="0.51181102362204722" footer="0.42"/>
  <pageSetup paperSize="9"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5E6B-B5A9-4110-841E-BCEF0C5F2960}">
  <dimension ref="A1:R360"/>
  <sheetViews>
    <sheetView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8" sqref="A8"/>
    </sheetView>
  </sheetViews>
  <sheetFormatPr defaultRowHeight="12.75" customHeight="1" zeroHeight="1" x14ac:dyDescent="0.2"/>
  <cols>
    <col min="1" max="1" width="4.140625" customWidth="1"/>
    <col min="2" max="2" width="7.140625" customWidth="1"/>
    <col min="3" max="3" width="13.7109375" style="49" customWidth="1"/>
    <col min="4" max="4" width="44" customWidth="1"/>
    <col min="5" max="5" width="4.7109375" customWidth="1"/>
    <col min="6" max="6" width="5.85546875" customWidth="1"/>
    <col min="7" max="7" width="9.28515625" customWidth="1"/>
    <col min="8" max="9" width="5.28515625" customWidth="1"/>
    <col min="10" max="12" width="0" hidden="1" customWidth="1"/>
    <col min="13" max="13" width="11.5703125" hidden="1" customWidth="1"/>
    <col min="14" max="14" width="24.7109375" hidden="1" customWidth="1"/>
    <col min="15" max="256" width="0" hidden="1" customWidth="1"/>
  </cols>
  <sheetData>
    <row r="1" spans="1:18" ht="15" x14ac:dyDescent="0.25">
      <c r="A1" s="94"/>
      <c r="B1" s="94"/>
      <c r="C1" s="94"/>
      <c r="D1" s="94"/>
      <c r="E1" s="94"/>
      <c r="F1" s="4"/>
      <c r="G1" s="2"/>
    </row>
    <row r="2" spans="1:18" ht="15" x14ac:dyDescent="0.25">
      <c r="A2" s="94"/>
      <c r="B2" s="94"/>
      <c r="C2" s="94"/>
      <c r="D2" s="94"/>
      <c r="E2" s="94"/>
      <c r="F2" s="4"/>
      <c r="G2" s="2"/>
    </row>
    <row r="3" spans="1:18" ht="15" x14ac:dyDescent="0.25">
      <c r="A3" s="94"/>
      <c r="B3" s="94"/>
      <c r="C3" s="94"/>
      <c r="D3" s="94"/>
      <c r="E3" s="94"/>
      <c r="F3" s="4"/>
      <c r="G3" s="2"/>
    </row>
    <row r="4" spans="1:18" ht="15" x14ac:dyDescent="0.25">
      <c r="A4" s="94"/>
      <c r="B4" s="94"/>
      <c r="C4" s="94"/>
      <c r="D4" s="94"/>
      <c r="E4" s="94"/>
      <c r="F4" s="4"/>
      <c r="G4" s="2"/>
    </row>
    <row r="5" spans="1:18" ht="15" x14ac:dyDescent="0.25">
      <c r="A5" s="4"/>
      <c r="B5" s="4"/>
      <c r="C5" s="42"/>
      <c r="D5" s="4"/>
      <c r="E5" s="4"/>
      <c r="F5" s="4"/>
      <c r="G5" s="2"/>
    </row>
    <row r="6" spans="1:18" ht="15" x14ac:dyDescent="0.25">
      <c r="A6" s="4"/>
      <c r="B6" s="4"/>
      <c r="C6" s="42"/>
      <c r="D6" s="4"/>
      <c r="E6" s="4"/>
      <c r="F6" s="4"/>
      <c r="G6" s="2"/>
    </row>
    <row r="7" spans="1:18" ht="18" x14ac:dyDescent="0.2">
      <c r="A7" s="95" t="s">
        <v>1087</v>
      </c>
      <c r="B7" s="95"/>
      <c r="C7" s="95"/>
      <c r="D7" s="95"/>
      <c r="E7" s="95"/>
      <c r="F7" s="95"/>
      <c r="G7" s="95"/>
      <c r="H7" s="9"/>
    </row>
    <row r="8" spans="1:18" ht="15.75" customHeight="1" x14ac:dyDescent="0.2">
      <c r="A8" s="10" t="s">
        <v>1074</v>
      </c>
      <c r="B8" s="10"/>
      <c r="C8" s="43"/>
      <c r="D8" s="19"/>
      <c r="E8" s="8"/>
      <c r="F8" s="8"/>
      <c r="G8" s="7"/>
      <c r="H8" s="9"/>
    </row>
    <row r="9" spans="1:18" ht="15.75" customHeight="1" x14ac:dyDescent="0.2">
      <c r="A9" s="88" t="s">
        <v>0</v>
      </c>
      <c r="B9" s="89"/>
      <c r="C9" s="89"/>
      <c r="D9" s="90" t="s">
        <v>1</v>
      </c>
      <c r="E9" s="92" t="s">
        <v>9</v>
      </c>
      <c r="F9" s="86" t="s">
        <v>10</v>
      </c>
      <c r="G9" s="96" t="s">
        <v>48</v>
      </c>
      <c r="H9" s="9"/>
    </row>
    <row r="10" spans="1:18" ht="15.75" customHeight="1" x14ac:dyDescent="0.2">
      <c r="A10" s="20" t="s">
        <v>2</v>
      </c>
      <c r="B10" s="20" t="s">
        <v>3</v>
      </c>
      <c r="C10" s="44" t="s">
        <v>4</v>
      </c>
      <c r="D10" s="91"/>
      <c r="E10" s="93"/>
      <c r="F10" s="87"/>
      <c r="G10" s="97"/>
      <c r="H10" s="9"/>
    </row>
    <row r="11" spans="1:18" ht="15.75" customHeight="1" x14ac:dyDescent="0.25">
      <c r="A11" s="16">
        <v>1</v>
      </c>
      <c r="B11" s="28">
        <v>9764</v>
      </c>
      <c r="C11" s="45" t="s">
        <v>84</v>
      </c>
      <c r="D11" s="30" t="s">
        <v>15</v>
      </c>
      <c r="E11" s="31" t="s">
        <v>6</v>
      </c>
      <c r="F11" s="31" t="s">
        <v>11</v>
      </c>
      <c r="G11" s="31" t="s">
        <v>13</v>
      </c>
      <c r="H11" s="9"/>
    </row>
    <row r="12" spans="1:18" ht="15.75" customHeight="1" x14ac:dyDescent="0.25">
      <c r="A12" s="16">
        <v>2</v>
      </c>
      <c r="B12" s="28">
        <v>9772</v>
      </c>
      <c r="C12" s="45" t="s">
        <v>85</v>
      </c>
      <c r="D12" s="30" t="s">
        <v>17</v>
      </c>
      <c r="E12" s="31" t="s">
        <v>6</v>
      </c>
      <c r="F12" s="31" t="s">
        <v>11</v>
      </c>
      <c r="G12" s="31" t="s">
        <v>13</v>
      </c>
      <c r="H12" s="9"/>
    </row>
    <row r="13" spans="1:18" ht="15.75" customHeight="1" x14ac:dyDescent="0.25">
      <c r="A13" s="16">
        <v>3</v>
      </c>
      <c r="B13" s="28">
        <v>9778</v>
      </c>
      <c r="C13" s="45" t="s">
        <v>86</v>
      </c>
      <c r="D13" s="30" t="s">
        <v>57</v>
      </c>
      <c r="E13" s="31" t="s">
        <v>5</v>
      </c>
      <c r="F13" s="31" t="s">
        <v>11</v>
      </c>
      <c r="G13" s="31" t="s">
        <v>13</v>
      </c>
      <c r="H13" s="9"/>
    </row>
    <row r="14" spans="1:18" ht="15.75" customHeight="1" x14ac:dyDescent="0.25">
      <c r="A14" s="16">
        <v>4</v>
      </c>
      <c r="B14" s="28">
        <v>9786</v>
      </c>
      <c r="C14" s="45" t="s">
        <v>87</v>
      </c>
      <c r="D14" s="32" t="s">
        <v>58</v>
      </c>
      <c r="E14" s="31" t="s">
        <v>5</v>
      </c>
      <c r="F14" s="31" t="s">
        <v>12</v>
      </c>
      <c r="G14" s="31" t="s">
        <v>14</v>
      </c>
      <c r="H14" s="9"/>
      <c r="K14" s="11"/>
      <c r="L14" s="12"/>
      <c r="M14" s="13"/>
      <c r="N14" s="14"/>
      <c r="O14" s="12"/>
      <c r="P14" s="12"/>
      <c r="Q14" s="15"/>
      <c r="R14" s="15"/>
    </row>
    <row r="15" spans="1:18" ht="15.75" customHeight="1" x14ac:dyDescent="0.25">
      <c r="A15" s="16">
        <v>5</v>
      </c>
      <c r="B15" s="28">
        <v>9789</v>
      </c>
      <c r="C15" s="45" t="s">
        <v>88</v>
      </c>
      <c r="D15" s="30" t="s">
        <v>59</v>
      </c>
      <c r="E15" s="31" t="s">
        <v>6</v>
      </c>
      <c r="F15" s="31" t="s">
        <v>11</v>
      </c>
      <c r="G15" s="31" t="s">
        <v>14</v>
      </c>
      <c r="H15" s="9"/>
    </row>
    <row r="16" spans="1:18" ht="15.75" customHeight="1" x14ac:dyDescent="0.25">
      <c r="A16" s="16">
        <v>6</v>
      </c>
      <c r="B16" s="28">
        <v>9800</v>
      </c>
      <c r="C16" s="45" t="s">
        <v>89</v>
      </c>
      <c r="D16" s="30" t="s">
        <v>60</v>
      </c>
      <c r="E16" s="31" t="s">
        <v>6</v>
      </c>
      <c r="F16" s="31" t="s">
        <v>11</v>
      </c>
      <c r="G16" s="31" t="s">
        <v>13</v>
      </c>
      <c r="H16" s="9"/>
    </row>
    <row r="17" spans="1:17" ht="15.75" customHeight="1" x14ac:dyDescent="0.25">
      <c r="A17" s="16">
        <v>7</v>
      </c>
      <c r="B17" s="28">
        <v>9815</v>
      </c>
      <c r="C17" s="45" t="s">
        <v>90</v>
      </c>
      <c r="D17" s="32" t="s">
        <v>61</v>
      </c>
      <c r="E17" s="31" t="s">
        <v>6</v>
      </c>
      <c r="F17" s="31" t="s">
        <v>11</v>
      </c>
      <c r="G17" s="31" t="s">
        <v>13</v>
      </c>
      <c r="H17" s="9"/>
    </row>
    <row r="18" spans="1:17" ht="15.75" customHeight="1" x14ac:dyDescent="0.25">
      <c r="A18" s="16">
        <v>8</v>
      </c>
      <c r="B18" s="28">
        <v>9819</v>
      </c>
      <c r="C18" s="45" t="s">
        <v>91</v>
      </c>
      <c r="D18" s="30" t="s">
        <v>62</v>
      </c>
      <c r="E18" s="31" t="s">
        <v>6</v>
      </c>
      <c r="F18" s="31" t="s">
        <v>11</v>
      </c>
      <c r="G18" s="31" t="s">
        <v>13</v>
      </c>
      <c r="H18" s="9"/>
    </row>
    <row r="19" spans="1:17" ht="15.75" customHeight="1" x14ac:dyDescent="0.25">
      <c r="A19" s="16">
        <v>9</v>
      </c>
      <c r="B19" s="28">
        <v>9827</v>
      </c>
      <c r="C19" s="45" t="s">
        <v>92</v>
      </c>
      <c r="D19" s="30" t="s">
        <v>63</v>
      </c>
      <c r="E19" s="31" t="s">
        <v>6</v>
      </c>
      <c r="F19" s="31" t="s">
        <v>11</v>
      </c>
      <c r="G19" s="31" t="s">
        <v>14</v>
      </c>
      <c r="H19" s="9"/>
    </row>
    <row r="20" spans="1:17" ht="15.75" customHeight="1" x14ac:dyDescent="0.25">
      <c r="A20" s="16">
        <v>10</v>
      </c>
      <c r="B20" s="28">
        <v>9834</v>
      </c>
      <c r="C20" s="45" t="s">
        <v>93</v>
      </c>
      <c r="D20" s="32" t="s">
        <v>24</v>
      </c>
      <c r="E20" s="31" t="s">
        <v>5</v>
      </c>
      <c r="F20" s="31" t="s">
        <v>11</v>
      </c>
      <c r="G20" s="31" t="s">
        <v>13</v>
      </c>
      <c r="H20" s="9"/>
    </row>
    <row r="21" spans="1:17" ht="15.75" customHeight="1" x14ac:dyDescent="0.25">
      <c r="A21" s="16">
        <v>11</v>
      </c>
      <c r="B21" s="28">
        <v>9843</v>
      </c>
      <c r="C21" s="46" t="s">
        <v>94</v>
      </c>
      <c r="D21" s="27" t="s">
        <v>26</v>
      </c>
      <c r="E21" s="18" t="s">
        <v>5</v>
      </c>
      <c r="F21" s="31" t="s">
        <v>11</v>
      </c>
      <c r="G21" s="31" t="s">
        <v>13</v>
      </c>
      <c r="H21" s="9"/>
    </row>
    <row r="22" spans="1:17" ht="15.75" customHeight="1" x14ac:dyDescent="0.25">
      <c r="A22" s="16">
        <v>12</v>
      </c>
      <c r="B22" s="28">
        <v>9850</v>
      </c>
      <c r="C22" s="45" t="s">
        <v>95</v>
      </c>
      <c r="D22" s="30" t="s">
        <v>64</v>
      </c>
      <c r="E22" s="31" t="s">
        <v>6</v>
      </c>
      <c r="F22" s="31" t="s">
        <v>12</v>
      </c>
      <c r="G22" s="31" t="s">
        <v>13</v>
      </c>
      <c r="H22" s="9"/>
    </row>
    <row r="23" spans="1:17" ht="15.75" customHeight="1" x14ac:dyDescent="0.25">
      <c r="A23" s="16">
        <v>13</v>
      </c>
      <c r="B23" s="28">
        <v>9863</v>
      </c>
      <c r="C23" s="45" t="s">
        <v>96</v>
      </c>
      <c r="D23" s="30" t="s">
        <v>65</v>
      </c>
      <c r="E23" s="31" t="s">
        <v>6</v>
      </c>
      <c r="F23" s="31" t="s">
        <v>11</v>
      </c>
      <c r="G23" s="31" t="s">
        <v>13</v>
      </c>
      <c r="H23" s="9"/>
    </row>
    <row r="24" spans="1:17" ht="15.75" customHeight="1" x14ac:dyDescent="0.25">
      <c r="A24" s="16">
        <v>14</v>
      </c>
      <c r="B24" s="28">
        <v>9865</v>
      </c>
      <c r="C24" s="45" t="s">
        <v>97</v>
      </c>
      <c r="D24" s="32" t="s">
        <v>66</v>
      </c>
      <c r="E24" s="31" t="s">
        <v>5</v>
      </c>
      <c r="F24" s="31" t="s">
        <v>11</v>
      </c>
      <c r="G24" s="31" t="s">
        <v>13</v>
      </c>
      <c r="H24" s="9"/>
    </row>
    <row r="25" spans="1:17" ht="15.75" customHeight="1" x14ac:dyDescent="0.25">
      <c r="A25" s="16">
        <v>15</v>
      </c>
      <c r="B25" s="28">
        <v>9881</v>
      </c>
      <c r="C25" s="45" t="s">
        <v>98</v>
      </c>
      <c r="D25" s="30" t="s">
        <v>33</v>
      </c>
      <c r="E25" s="31" t="s">
        <v>6</v>
      </c>
      <c r="F25" s="31" t="s">
        <v>11</v>
      </c>
      <c r="G25" s="31" t="s">
        <v>13</v>
      </c>
      <c r="H25" s="9"/>
    </row>
    <row r="26" spans="1:17" ht="15.75" customHeight="1" x14ac:dyDescent="0.25">
      <c r="A26" s="16">
        <v>16</v>
      </c>
      <c r="B26" s="28">
        <v>9885</v>
      </c>
      <c r="C26" s="45" t="s">
        <v>99</v>
      </c>
      <c r="D26" s="30" t="s">
        <v>67</v>
      </c>
      <c r="E26" s="31" t="s">
        <v>6</v>
      </c>
      <c r="F26" s="31" t="s">
        <v>11</v>
      </c>
      <c r="G26" s="31" t="s">
        <v>13</v>
      </c>
      <c r="H26" s="9"/>
      <c r="M26" s="22"/>
      <c r="N26" s="23"/>
      <c r="O26" s="24"/>
      <c r="P26" s="25"/>
      <c r="Q26" s="25"/>
    </row>
    <row r="27" spans="1:17" ht="15.75" customHeight="1" x14ac:dyDescent="0.25">
      <c r="A27" s="16">
        <v>17</v>
      </c>
      <c r="B27" s="28">
        <v>9886</v>
      </c>
      <c r="C27" s="45" t="s">
        <v>100</v>
      </c>
      <c r="D27" s="30" t="s">
        <v>68</v>
      </c>
      <c r="E27" s="31" t="s">
        <v>6</v>
      </c>
      <c r="F27" s="31" t="s">
        <v>11</v>
      </c>
      <c r="G27" s="31" t="s">
        <v>13</v>
      </c>
      <c r="H27" s="9"/>
    </row>
    <row r="28" spans="1:17" ht="15.75" customHeight="1" x14ac:dyDescent="0.25">
      <c r="A28" s="16">
        <v>18</v>
      </c>
      <c r="B28" s="28">
        <v>9892</v>
      </c>
      <c r="C28" s="45" t="s">
        <v>101</v>
      </c>
      <c r="D28" s="30" t="s">
        <v>69</v>
      </c>
      <c r="E28" s="31" t="s">
        <v>5</v>
      </c>
      <c r="F28" s="31" t="s">
        <v>11</v>
      </c>
      <c r="G28" s="31" t="s">
        <v>13</v>
      </c>
      <c r="H28" s="9"/>
    </row>
    <row r="29" spans="1:17" ht="15.75" customHeight="1" x14ac:dyDescent="0.25">
      <c r="A29" s="16">
        <v>19</v>
      </c>
      <c r="B29" s="28">
        <v>9906</v>
      </c>
      <c r="C29" s="45" t="s">
        <v>102</v>
      </c>
      <c r="D29" s="32" t="s">
        <v>70</v>
      </c>
      <c r="E29" s="31" t="s">
        <v>6</v>
      </c>
      <c r="F29" s="31" t="s">
        <v>12</v>
      </c>
      <c r="G29" s="31" t="s">
        <v>14</v>
      </c>
      <c r="H29" s="9"/>
    </row>
    <row r="30" spans="1:17" ht="15.75" customHeight="1" x14ac:dyDescent="0.25">
      <c r="A30" s="16">
        <v>20</v>
      </c>
      <c r="B30" s="28">
        <v>9908</v>
      </c>
      <c r="C30" s="45" t="s">
        <v>103</v>
      </c>
      <c r="D30" s="30" t="s">
        <v>71</v>
      </c>
      <c r="E30" s="31" t="s">
        <v>6</v>
      </c>
      <c r="F30" s="31" t="s">
        <v>11</v>
      </c>
      <c r="G30" s="31" t="s">
        <v>13</v>
      </c>
      <c r="H30" s="9"/>
    </row>
    <row r="31" spans="1:17" ht="15.75" customHeight="1" x14ac:dyDescent="0.25">
      <c r="A31" s="16">
        <v>21</v>
      </c>
      <c r="B31" s="28">
        <v>9926</v>
      </c>
      <c r="C31" s="45" t="s">
        <v>104</v>
      </c>
      <c r="D31" s="30" t="s">
        <v>72</v>
      </c>
      <c r="E31" s="31" t="s">
        <v>6</v>
      </c>
      <c r="F31" s="31" t="s">
        <v>11</v>
      </c>
      <c r="G31" s="31" t="s">
        <v>13</v>
      </c>
      <c r="H31" s="9"/>
    </row>
    <row r="32" spans="1:17" ht="15.75" customHeight="1" x14ac:dyDescent="0.25">
      <c r="A32" s="16">
        <v>22</v>
      </c>
      <c r="B32" s="28">
        <v>9931</v>
      </c>
      <c r="C32" s="45" t="s">
        <v>105</v>
      </c>
      <c r="D32" s="32" t="s">
        <v>35</v>
      </c>
      <c r="E32" s="31" t="s">
        <v>5</v>
      </c>
      <c r="F32" s="31" t="s">
        <v>11</v>
      </c>
      <c r="G32" s="31" t="s">
        <v>13</v>
      </c>
      <c r="H32" s="9"/>
    </row>
    <row r="33" spans="1:8" ht="15.75" customHeight="1" x14ac:dyDescent="0.25">
      <c r="A33" s="16">
        <v>23</v>
      </c>
      <c r="B33" s="28">
        <v>9936</v>
      </c>
      <c r="C33" s="45" t="s">
        <v>106</v>
      </c>
      <c r="D33" s="30" t="s">
        <v>73</v>
      </c>
      <c r="E33" s="31" t="s">
        <v>5</v>
      </c>
      <c r="F33" s="31" t="s">
        <v>11</v>
      </c>
      <c r="G33" s="31" t="s">
        <v>14</v>
      </c>
      <c r="H33" s="9"/>
    </row>
    <row r="34" spans="1:8" ht="15.75" customHeight="1" x14ac:dyDescent="0.25">
      <c r="A34" s="16">
        <v>24</v>
      </c>
      <c r="B34" s="28">
        <v>9941</v>
      </c>
      <c r="C34" s="45" t="s">
        <v>107</v>
      </c>
      <c r="D34" s="32" t="s">
        <v>74</v>
      </c>
      <c r="E34" s="31" t="s">
        <v>6</v>
      </c>
      <c r="F34" s="31" t="s">
        <v>11</v>
      </c>
      <c r="G34" s="31" t="s">
        <v>14</v>
      </c>
      <c r="H34" s="9"/>
    </row>
    <row r="35" spans="1:8" ht="15.75" customHeight="1" x14ac:dyDescent="0.25">
      <c r="A35" s="16">
        <v>25</v>
      </c>
      <c r="B35" s="28">
        <v>9944</v>
      </c>
      <c r="C35" s="45" t="s">
        <v>108</v>
      </c>
      <c r="D35" s="30" t="s">
        <v>38</v>
      </c>
      <c r="E35" s="31" t="s">
        <v>6</v>
      </c>
      <c r="F35" s="31" t="s">
        <v>11</v>
      </c>
      <c r="G35" s="31" t="s">
        <v>13</v>
      </c>
      <c r="H35" s="9"/>
    </row>
    <row r="36" spans="1:8" ht="15.75" customHeight="1" x14ac:dyDescent="0.25">
      <c r="A36" s="16">
        <v>26</v>
      </c>
      <c r="B36" s="28">
        <v>9955</v>
      </c>
      <c r="C36" s="46" t="s">
        <v>109</v>
      </c>
      <c r="D36" s="27" t="s">
        <v>75</v>
      </c>
      <c r="E36" s="18" t="s">
        <v>5</v>
      </c>
      <c r="F36" s="31" t="s">
        <v>11</v>
      </c>
      <c r="G36" s="31" t="s">
        <v>14</v>
      </c>
      <c r="H36" s="9"/>
    </row>
    <row r="37" spans="1:8" ht="15.75" customHeight="1" x14ac:dyDescent="0.25">
      <c r="A37" s="16">
        <v>27</v>
      </c>
      <c r="B37" s="28">
        <v>9961</v>
      </c>
      <c r="C37" s="45" t="s">
        <v>110</v>
      </c>
      <c r="D37" s="30" t="s">
        <v>76</v>
      </c>
      <c r="E37" s="31" t="s">
        <v>5</v>
      </c>
      <c r="F37" s="31" t="s">
        <v>11</v>
      </c>
      <c r="G37" s="31" t="s">
        <v>13</v>
      </c>
      <c r="H37" s="9"/>
    </row>
    <row r="38" spans="1:8" ht="15.75" customHeight="1" x14ac:dyDescent="0.25">
      <c r="A38" s="16">
        <v>28</v>
      </c>
      <c r="B38" s="28">
        <v>9974</v>
      </c>
      <c r="C38" s="45" t="s">
        <v>111</v>
      </c>
      <c r="D38" s="30" t="s">
        <v>77</v>
      </c>
      <c r="E38" s="31" t="s">
        <v>6</v>
      </c>
      <c r="F38" s="31" t="s">
        <v>11</v>
      </c>
      <c r="G38" s="31" t="s">
        <v>13</v>
      </c>
      <c r="H38" s="9"/>
    </row>
    <row r="39" spans="1:8" ht="15.75" customHeight="1" x14ac:dyDescent="0.25">
      <c r="A39" s="16">
        <v>29</v>
      </c>
      <c r="B39" s="28">
        <v>9975</v>
      </c>
      <c r="C39" s="45" t="s">
        <v>112</v>
      </c>
      <c r="D39" s="30" t="s">
        <v>78</v>
      </c>
      <c r="E39" s="31" t="s">
        <v>6</v>
      </c>
      <c r="F39" s="31" t="s">
        <v>11</v>
      </c>
      <c r="G39" s="31" t="s">
        <v>14</v>
      </c>
      <c r="H39" s="9"/>
    </row>
    <row r="40" spans="1:8" ht="15.75" customHeight="1" x14ac:dyDescent="0.25">
      <c r="A40" s="16">
        <v>30</v>
      </c>
      <c r="B40" s="28">
        <v>9990</v>
      </c>
      <c r="C40" s="45" t="s">
        <v>113</v>
      </c>
      <c r="D40" s="30" t="s">
        <v>79</v>
      </c>
      <c r="E40" s="31" t="s">
        <v>5</v>
      </c>
      <c r="F40" s="31" t="s">
        <v>11</v>
      </c>
      <c r="G40" s="31" t="s">
        <v>13</v>
      </c>
      <c r="H40" s="9"/>
    </row>
    <row r="41" spans="1:8" ht="15.75" customHeight="1" x14ac:dyDescent="0.25">
      <c r="A41" s="16">
        <v>31</v>
      </c>
      <c r="B41" s="28">
        <v>9995</v>
      </c>
      <c r="C41" s="45" t="s">
        <v>114</v>
      </c>
      <c r="D41" s="30" t="s">
        <v>80</v>
      </c>
      <c r="E41" s="31" t="s">
        <v>6</v>
      </c>
      <c r="F41" s="31" t="s">
        <v>11</v>
      </c>
      <c r="G41" s="31" t="s">
        <v>13</v>
      </c>
      <c r="H41" s="9"/>
    </row>
    <row r="42" spans="1:8" ht="15.75" customHeight="1" x14ac:dyDescent="0.25">
      <c r="A42" s="16">
        <v>32</v>
      </c>
      <c r="B42" s="28">
        <v>9997</v>
      </c>
      <c r="C42" s="45" t="s">
        <v>115</v>
      </c>
      <c r="D42" s="30" t="s">
        <v>44</v>
      </c>
      <c r="E42" s="31" t="s">
        <v>6</v>
      </c>
      <c r="F42" s="31" t="s">
        <v>11</v>
      </c>
      <c r="G42" s="31" t="s">
        <v>13</v>
      </c>
      <c r="H42" s="9"/>
    </row>
    <row r="43" spans="1:8" ht="15.75" customHeight="1" x14ac:dyDescent="0.25">
      <c r="A43" s="16">
        <v>33</v>
      </c>
      <c r="B43" s="28">
        <v>10000</v>
      </c>
      <c r="C43" s="45" t="s">
        <v>116</v>
      </c>
      <c r="D43" s="30" t="s">
        <v>81</v>
      </c>
      <c r="E43" s="31" t="s">
        <v>6</v>
      </c>
      <c r="F43" s="31" t="s">
        <v>11</v>
      </c>
      <c r="G43" s="31" t="s">
        <v>14</v>
      </c>
      <c r="H43" s="9"/>
    </row>
    <row r="44" spans="1:8" ht="15.75" customHeight="1" x14ac:dyDescent="0.25">
      <c r="A44" s="16">
        <v>34</v>
      </c>
      <c r="B44" s="33">
        <v>10005</v>
      </c>
      <c r="C44" s="47" t="s">
        <v>117</v>
      </c>
      <c r="D44" s="35" t="s">
        <v>82</v>
      </c>
      <c r="E44" s="36" t="s">
        <v>6</v>
      </c>
      <c r="F44" s="36" t="s">
        <v>11</v>
      </c>
      <c r="G44" s="31" t="s">
        <v>13</v>
      </c>
      <c r="H44" s="9"/>
    </row>
    <row r="45" spans="1:8" ht="15.75" customHeight="1" x14ac:dyDescent="0.25">
      <c r="A45" s="16">
        <v>35</v>
      </c>
      <c r="B45" s="28">
        <v>10006</v>
      </c>
      <c r="C45" s="45" t="s">
        <v>118</v>
      </c>
      <c r="D45" s="30" t="s">
        <v>83</v>
      </c>
      <c r="E45" s="31" t="s">
        <v>6</v>
      </c>
      <c r="F45" s="31" t="s">
        <v>11</v>
      </c>
      <c r="G45" s="31" t="s">
        <v>13</v>
      </c>
      <c r="H45" s="9"/>
    </row>
    <row r="46" spans="1:8" ht="15.75" customHeight="1" x14ac:dyDescent="0.25">
      <c r="A46" s="16">
        <v>36</v>
      </c>
      <c r="B46" s="33">
        <v>10011</v>
      </c>
      <c r="C46" s="47" t="s">
        <v>119</v>
      </c>
      <c r="D46" s="35" t="s">
        <v>46</v>
      </c>
      <c r="E46" s="36" t="s">
        <v>6</v>
      </c>
      <c r="F46" s="36" t="s">
        <v>11</v>
      </c>
      <c r="G46" s="31" t="s">
        <v>13</v>
      </c>
      <c r="H46" s="9"/>
    </row>
    <row r="47" spans="1:8" ht="15.75" customHeight="1" x14ac:dyDescent="0.2">
      <c r="A47" s="3" t="s">
        <v>5</v>
      </c>
      <c r="B47" s="3">
        <f>COUNTIF(E11:E46,A47)</f>
        <v>11</v>
      </c>
      <c r="C47" s="48" t="s">
        <v>8</v>
      </c>
      <c r="D47" s="6" t="s">
        <v>11</v>
      </c>
      <c r="E47" s="3">
        <f>COUNTIF(F11:F46,D47)</f>
        <v>33</v>
      </c>
      <c r="F47" s="3"/>
      <c r="G47" s="7"/>
      <c r="H47" s="9"/>
    </row>
    <row r="48" spans="1:8" ht="15.75" customHeight="1" x14ac:dyDescent="0.2">
      <c r="A48" s="3" t="s">
        <v>6</v>
      </c>
      <c r="B48" s="5">
        <f>COUNTIF(E11:E46,A48)</f>
        <v>25</v>
      </c>
      <c r="C48" s="48" t="s">
        <v>8</v>
      </c>
      <c r="D48" s="6" t="s">
        <v>49</v>
      </c>
      <c r="E48" s="3">
        <f>COUNTIF(F11:F46,D48)</f>
        <v>0</v>
      </c>
      <c r="F48" s="3"/>
      <c r="G48" s="7"/>
      <c r="H48" s="9"/>
    </row>
    <row r="49" spans="1:8" ht="15.75" customHeight="1" x14ac:dyDescent="0.2">
      <c r="A49" s="3" t="s">
        <v>7</v>
      </c>
      <c r="B49" s="3">
        <f>B47+B48</f>
        <v>36</v>
      </c>
      <c r="C49" s="48" t="s">
        <v>8</v>
      </c>
      <c r="D49" s="6" t="s">
        <v>12</v>
      </c>
      <c r="E49" s="3">
        <f>COUNTIF(F11:F46,D49)</f>
        <v>3</v>
      </c>
      <c r="F49" s="3"/>
      <c r="G49" s="7"/>
      <c r="H49" s="9"/>
    </row>
    <row r="50" spans="1:8" ht="15.75" customHeight="1" x14ac:dyDescent="0.2">
      <c r="D50" s="40" t="s">
        <v>13</v>
      </c>
      <c r="E50" s="41">
        <f>COUNTIF(G11:G46,D50)</f>
        <v>27</v>
      </c>
      <c r="F50" s="3"/>
      <c r="G50" s="7"/>
      <c r="H50" s="9"/>
    </row>
    <row r="51" spans="1:8" ht="15.75" customHeight="1" x14ac:dyDescent="0.2">
      <c r="D51" s="40" t="s">
        <v>14</v>
      </c>
      <c r="E51" s="41">
        <f>COUNTIF(G11:G46,D51)</f>
        <v>9</v>
      </c>
      <c r="F51" s="3"/>
      <c r="G51" s="7"/>
      <c r="H51" s="9"/>
    </row>
    <row r="52" spans="1:8" ht="15.75" customHeight="1" x14ac:dyDescent="0.2">
      <c r="A52" s="10" t="s">
        <v>1075</v>
      </c>
      <c r="B52" s="10"/>
      <c r="C52" s="43"/>
      <c r="D52" s="19"/>
      <c r="E52" s="8"/>
      <c r="F52" s="8"/>
      <c r="G52" s="7"/>
      <c r="H52" s="37"/>
    </row>
    <row r="53" spans="1:8" ht="15.75" customHeight="1" x14ac:dyDescent="0.2">
      <c r="A53" s="88" t="s">
        <v>0</v>
      </c>
      <c r="B53" s="89"/>
      <c r="C53" s="89"/>
      <c r="D53" s="90" t="s">
        <v>1</v>
      </c>
      <c r="E53" s="92" t="s">
        <v>9</v>
      </c>
      <c r="F53" s="86" t="s">
        <v>10</v>
      </c>
      <c r="G53" s="96" t="s">
        <v>48</v>
      </c>
      <c r="H53" s="37"/>
    </row>
    <row r="54" spans="1:8" ht="15.75" customHeight="1" x14ac:dyDescent="0.2">
      <c r="A54" s="20" t="s">
        <v>2</v>
      </c>
      <c r="B54" s="20" t="s">
        <v>3</v>
      </c>
      <c r="C54" s="44" t="s">
        <v>4</v>
      </c>
      <c r="D54" s="91"/>
      <c r="E54" s="93"/>
      <c r="F54" s="87"/>
      <c r="G54" s="97"/>
      <c r="H54" s="37"/>
    </row>
    <row r="55" spans="1:8" ht="15.75" customHeight="1" x14ac:dyDescent="0.25">
      <c r="A55" s="16">
        <v>1</v>
      </c>
      <c r="B55" s="28">
        <v>9799</v>
      </c>
      <c r="C55" s="45" t="s">
        <v>120</v>
      </c>
      <c r="D55" s="30" t="s">
        <v>121</v>
      </c>
      <c r="E55" s="31" t="s">
        <v>6</v>
      </c>
      <c r="F55" s="31" t="s">
        <v>11</v>
      </c>
      <c r="G55" s="31" t="s">
        <v>13</v>
      </c>
      <c r="H55" s="37"/>
    </row>
    <row r="56" spans="1:8" ht="15.75" customHeight="1" x14ac:dyDescent="0.25">
      <c r="A56" s="16">
        <v>2</v>
      </c>
      <c r="B56" s="28">
        <v>9807</v>
      </c>
      <c r="C56" s="45" t="s">
        <v>122</v>
      </c>
      <c r="D56" s="30" t="s">
        <v>123</v>
      </c>
      <c r="E56" s="31" t="s">
        <v>6</v>
      </c>
      <c r="F56" s="31" t="s">
        <v>11</v>
      </c>
      <c r="G56" s="31" t="s">
        <v>13</v>
      </c>
      <c r="H56" s="37"/>
    </row>
    <row r="57" spans="1:8" ht="15.75" customHeight="1" x14ac:dyDescent="0.25">
      <c r="A57" s="16">
        <v>3</v>
      </c>
      <c r="B57" s="28">
        <v>9808</v>
      </c>
      <c r="C57" s="45" t="s">
        <v>124</v>
      </c>
      <c r="D57" s="30" t="s">
        <v>125</v>
      </c>
      <c r="E57" s="31" t="s">
        <v>6</v>
      </c>
      <c r="F57" s="31" t="s">
        <v>11</v>
      </c>
      <c r="G57" s="31" t="s">
        <v>14</v>
      </c>
      <c r="H57" s="37"/>
    </row>
    <row r="58" spans="1:8" ht="15.75" customHeight="1" x14ac:dyDescent="0.25">
      <c r="A58" s="16">
        <v>4</v>
      </c>
      <c r="B58" s="28">
        <v>9810</v>
      </c>
      <c r="C58" s="45" t="s">
        <v>126</v>
      </c>
      <c r="D58" s="30" t="s">
        <v>127</v>
      </c>
      <c r="E58" s="31" t="s">
        <v>6</v>
      </c>
      <c r="F58" s="31" t="s">
        <v>11</v>
      </c>
      <c r="G58" s="31" t="s">
        <v>13</v>
      </c>
      <c r="H58" s="37"/>
    </row>
    <row r="59" spans="1:8" ht="15.75" customHeight="1" x14ac:dyDescent="0.25">
      <c r="A59" s="16">
        <v>5</v>
      </c>
      <c r="B59" s="28">
        <v>9813</v>
      </c>
      <c r="C59" s="45" t="s">
        <v>128</v>
      </c>
      <c r="D59" s="32" t="s">
        <v>129</v>
      </c>
      <c r="E59" s="31" t="s">
        <v>6</v>
      </c>
      <c r="F59" s="31" t="s">
        <v>11</v>
      </c>
      <c r="G59" s="31" t="s">
        <v>13</v>
      </c>
      <c r="H59" s="37"/>
    </row>
    <row r="60" spans="1:8" ht="15.75" customHeight="1" x14ac:dyDescent="0.25">
      <c r="A60" s="16">
        <v>6</v>
      </c>
      <c r="B60" s="28">
        <v>9816</v>
      </c>
      <c r="C60" s="45" t="s">
        <v>130</v>
      </c>
      <c r="D60" s="30" t="s">
        <v>131</v>
      </c>
      <c r="E60" s="31" t="s">
        <v>6</v>
      </c>
      <c r="F60" s="31" t="s">
        <v>11</v>
      </c>
      <c r="G60" s="31" t="s">
        <v>14</v>
      </c>
      <c r="H60" s="37"/>
    </row>
    <row r="61" spans="1:8" ht="15.75" customHeight="1" x14ac:dyDescent="0.25">
      <c r="A61" s="16">
        <v>7</v>
      </c>
      <c r="B61" s="28">
        <v>9830</v>
      </c>
      <c r="C61" s="45" t="s">
        <v>132</v>
      </c>
      <c r="D61" s="30" t="s">
        <v>133</v>
      </c>
      <c r="E61" s="31" t="s">
        <v>6</v>
      </c>
      <c r="F61" s="31" t="s">
        <v>11</v>
      </c>
      <c r="G61" s="31" t="s">
        <v>13</v>
      </c>
      <c r="H61" s="37"/>
    </row>
    <row r="62" spans="1:8" ht="15.75" customHeight="1" x14ac:dyDescent="0.25">
      <c r="A62" s="16">
        <v>8</v>
      </c>
      <c r="B62" s="28">
        <v>9835</v>
      </c>
      <c r="C62" s="45" t="s">
        <v>134</v>
      </c>
      <c r="D62" s="32" t="s">
        <v>135</v>
      </c>
      <c r="E62" s="31" t="s">
        <v>6</v>
      </c>
      <c r="F62" s="31" t="s">
        <v>11</v>
      </c>
      <c r="G62" s="31" t="s">
        <v>14</v>
      </c>
      <c r="H62" s="37"/>
    </row>
    <row r="63" spans="1:8" ht="15.75" customHeight="1" x14ac:dyDescent="0.25">
      <c r="A63" s="16">
        <v>9</v>
      </c>
      <c r="B63" s="28">
        <v>9851</v>
      </c>
      <c r="C63" s="47" t="s">
        <v>136</v>
      </c>
      <c r="D63" s="32" t="s">
        <v>137</v>
      </c>
      <c r="E63" s="31" t="s">
        <v>6</v>
      </c>
      <c r="F63" s="31" t="s">
        <v>49</v>
      </c>
      <c r="G63" s="31" t="s">
        <v>13</v>
      </c>
      <c r="H63" s="37"/>
    </row>
    <row r="64" spans="1:8" ht="15.75" customHeight="1" x14ac:dyDescent="0.25">
      <c r="A64" s="16">
        <v>10</v>
      </c>
      <c r="B64" s="28">
        <v>9854</v>
      </c>
      <c r="C64" s="45" t="s">
        <v>138</v>
      </c>
      <c r="D64" s="30" t="s">
        <v>139</v>
      </c>
      <c r="E64" s="31" t="s">
        <v>6</v>
      </c>
      <c r="F64" s="31" t="s">
        <v>12</v>
      </c>
      <c r="G64" s="31" t="s">
        <v>13</v>
      </c>
      <c r="H64" s="37"/>
    </row>
    <row r="65" spans="1:8" ht="15.75" customHeight="1" x14ac:dyDescent="0.25">
      <c r="A65" s="16">
        <v>11</v>
      </c>
      <c r="B65" s="28">
        <v>9856</v>
      </c>
      <c r="C65" s="45" t="s">
        <v>140</v>
      </c>
      <c r="D65" s="32" t="s">
        <v>141</v>
      </c>
      <c r="E65" s="31" t="s">
        <v>6</v>
      </c>
      <c r="F65" s="31" t="s">
        <v>11</v>
      </c>
      <c r="G65" s="31" t="s">
        <v>13</v>
      </c>
      <c r="H65" s="37"/>
    </row>
    <row r="66" spans="1:8" ht="15.75" customHeight="1" x14ac:dyDescent="0.25">
      <c r="A66" s="16">
        <v>12</v>
      </c>
      <c r="B66" s="28">
        <v>9859</v>
      </c>
      <c r="C66" s="45" t="s">
        <v>142</v>
      </c>
      <c r="D66" s="30" t="s">
        <v>143</v>
      </c>
      <c r="E66" s="31" t="s">
        <v>5</v>
      </c>
      <c r="F66" s="31" t="s">
        <v>11</v>
      </c>
      <c r="G66" s="31" t="s">
        <v>13</v>
      </c>
      <c r="H66" s="37"/>
    </row>
    <row r="67" spans="1:8" ht="15.75" customHeight="1" x14ac:dyDescent="0.25">
      <c r="A67" s="16">
        <v>13</v>
      </c>
      <c r="B67" s="28">
        <v>9861</v>
      </c>
      <c r="C67" s="47" t="s">
        <v>144</v>
      </c>
      <c r="D67" s="30" t="s">
        <v>145</v>
      </c>
      <c r="E67" s="31" t="s">
        <v>5</v>
      </c>
      <c r="F67" s="31" t="s">
        <v>11</v>
      </c>
      <c r="G67" s="31" t="s">
        <v>14</v>
      </c>
      <c r="H67" s="37"/>
    </row>
    <row r="68" spans="1:8" ht="15.75" customHeight="1" x14ac:dyDescent="0.25">
      <c r="A68" s="16">
        <v>14</v>
      </c>
      <c r="B68" s="28">
        <v>9862</v>
      </c>
      <c r="C68" s="45" t="s">
        <v>146</v>
      </c>
      <c r="D68" s="30" t="s">
        <v>147</v>
      </c>
      <c r="E68" s="31" t="s">
        <v>6</v>
      </c>
      <c r="F68" s="31" t="s">
        <v>11</v>
      </c>
      <c r="G68" s="31" t="s">
        <v>13</v>
      </c>
      <c r="H68" s="37"/>
    </row>
    <row r="69" spans="1:8" ht="15.75" customHeight="1" x14ac:dyDescent="0.25">
      <c r="A69" s="16">
        <v>15</v>
      </c>
      <c r="B69" s="28">
        <v>9876</v>
      </c>
      <c r="C69" s="45" t="s">
        <v>148</v>
      </c>
      <c r="D69" s="30" t="s">
        <v>149</v>
      </c>
      <c r="E69" s="31" t="s">
        <v>5</v>
      </c>
      <c r="F69" s="31" t="s">
        <v>11</v>
      </c>
      <c r="G69" s="31" t="s">
        <v>14</v>
      </c>
      <c r="H69" s="37"/>
    </row>
    <row r="70" spans="1:8" ht="15.75" customHeight="1" x14ac:dyDescent="0.25">
      <c r="A70" s="16">
        <v>16</v>
      </c>
      <c r="B70" s="28">
        <v>9883</v>
      </c>
      <c r="C70" s="45" t="s">
        <v>150</v>
      </c>
      <c r="D70" s="32" t="s">
        <v>151</v>
      </c>
      <c r="E70" s="31" t="s">
        <v>6</v>
      </c>
      <c r="F70" s="31" t="s">
        <v>11</v>
      </c>
      <c r="G70" s="31" t="s">
        <v>14</v>
      </c>
      <c r="H70" s="37"/>
    </row>
    <row r="71" spans="1:8" ht="15.75" customHeight="1" x14ac:dyDescent="0.25">
      <c r="A71" s="16">
        <v>17</v>
      </c>
      <c r="B71" s="28">
        <v>9884</v>
      </c>
      <c r="C71" s="45" t="s">
        <v>152</v>
      </c>
      <c r="D71" s="30" t="s">
        <v>153</v>
      </c>
      <c r="E71" s="31" t="s">
        <v>6</v>
      </c>
      <c r="F71" s="31" t="s">
        <v>11</v>
      </c>
      <c r="G71" s="31" t="s">
        <v>14</v>
      </c>
      <c r="H71" s="37"/>
    </row>
    <row r="72" spans="1:8" ht="15.75" customHeight="1" x14ac:dyDescent="0.25">
      <c r="A72" s="16">
        <v>18</v>
      </c>
      <c r="B72" s="28">
        <v>9888</v>
      </c>
      <c r="C72" s="46" t="s">
        <v>154</v>
      </c>
      <c r="D72" s="27" t="s">
        <v>155</v>
      </c>
      <c r="E72" s="18" t="s">
        <v>6</v>
      </c>
      <c r="F72" s="31" t="s">
        <v>11</v>
      </c>
      <c r="G72" s="31" t="s">
        <v>14</v>
      </c>
      <c r="H72" s="37"/>
    </row>
    <row r="73" spans="1:8" ht="15.75" customHeight="1" x14ac:dyDescent="0.25">
      <c r="A73" s="16">
        <v>19</v>
      </c>
      <c r="B73" s="28">
        <v>9924</v>
      </c>
      <c r="C73" s="45" t="s">
        <v>156</v>
      </c>
      <c r="D73" s="30" t="s">
        <v>157</v>
      </c>
      <c r="E73" s="31" t="s">
        <v>6</v>
      </c>
      <c r="F73" s="31" t="s">
        <v>11</v>
      </c>
      <c r="G73" s="31" t="s">
        <v>14</v>
      </c>
      <c r="H73" s="37"/>
    </row>
    <row r="74" spans="1:8" ht="15.75" customHeight="1" x14ac:dyDescent="0.25">
      <c r="A74" s="16">
        <v>20</v>
      </c>
      <c r="B74" s="28">
        <v>9927</v>
      </c>
      <c r="C74" s="45" t="s">
        <v>158</v>
      </c>
      <c r="D74" s="30" t="s">
        <v>159</v>
      </c>
      <c r="E74" s="31" t="s">
        <v>6</v>
      </c>
      <c r="F74" s="31" t="s">
        <v>11</v>
      </c>
      <c r="G74" s="31" t="s">
        <v>14</v>
      </c>
      <c r="H74" s="37"/>
    </row>
    <row r="75" spans="1:8" ht="15.75" customHeight="1" x14ac:dyDescent="0.25">
      <c r="A75" s="16">
        <v>21</v>
      </c>
      <c r="B75" s="28">
        <v>9933</v>
      </c>
      <c r="C75" s="45" t="s">
        <v>160</v>
      </c>
      <c r="D75" s="30" t="s">
        <v>161</v>
      </c>
      <c r="E75" s="31" t="s">
        <v>5</v>
      </c>
      <c r="F75" s="31" t="s">
        <v>11</v>
      </c>
      <c r="G75" s="31" t="s">
        <v>14</v>
      </c>
      <c r="H75" s="37"/>
    </row>
    <row r="76" spans="1:8" ht="15.75" customHeight="1" x14ac:dyDescent="0.25">
      <c r="A76" s="16">
        <v>22</v>
      </c>
      <c r="B76" s="28">
        <v>9934</v>
      </c>
      <c r="C76" s="45" t="s">
        <v>162</v>
      </c>
      <c r="D76" s="30" t="s">
        <v>163</v>
      </c>
      <c r="E76" s="31" t="s">
        <v>5</v>
      </c>
      <c r="F76" s="31" t="s">
        <v>11</v>
      </c>
      <c r="G76" s="31" t="s">
        <v>13</v>
      </c>
      <c r="H76" s="37"/>
    </row>
    <row r="77" spans="1:8" ht="15.75" customHeight="1" x14ac:dyDescent="0.25">
      <c r="A77" s="16">
        <v>23</v>
      </c>
      <c r="B77" s="28">
        <v>10015</v>
      </c>
      <c r="C77" s="45" t="s">
        <v>164</v>
      </c>
      <c r="D77" s="30" t="s">
        <v>165</v>
      </c>
      <c r="E77" s="31" t="s">
        <v>5</v>
      </c>
      <c r="F77" s="31" t="s">
        <v>11</v>
      </c>
      <c r="G77" s="31" t="s">
        <v>13</v>
      </c>
      <c r="H77" s="37"/>
    </row>
    <row r="78" spans="1:8" ht="15.75" customHeight="1" x14ac:dyDescent="0.25">
      <c r="A78" s="16">
        <v>24</v>
      </c>
      <c r="B78" s="28">
        <v>9937</v>
      </c>
      <c r="C78" s="45" t="s">
        <v>166</v>
      </c>
      <c r="D78" s="30" t="s">
        <v>167</v>
      </c>
      <c r="E78" s="31" t="s">
        <v>6</v>
      </c>
      <c r="F78" s="31" t="s">
        <v>11</v>
      </c>
      <c r="G78" s="31" t="s">
        <v>13</v>
      </c>
      <c r="H78" s="37"/>
    </row>
    <row r="79" spans="1:8" ht="15.75" customHeight="1" x14ac:dyDescent="0.25">
      <c r="A79" s="16">
        <v>25</v>
      </c>
      <c r="B79" s="28">
        <v>9946</v>
      </c>
      <c r="C79" s="45" t="s">
        <v>168</v>
      </c>
      <c r="D79" s="30" t="s">
        <v>169</v>
      </c>
      <c r="E79" s="31" t="s">
        <v>6</v>
      </c>
      <c r="F79" s="31" t="s">
        <v>11</v>
      </c>
      <c r="G79" s="31" t="s">
        <v>13</v>
      </c>
      <c r="H79" s="37"/>
    </row>
    <row r="80" spans="1:8" ht="15.75" customHeight="1" x14ac:dyDescent="0.25">
      <c r="A80" s="16">
        <v>26</v>
      </c>
      <c r="B80" s="28">
        <v>9957</v>
      </c>
      <c r="C80" s="45" t="s">
        <v>170</v>
      </c>
      <c r="D80" s="30" t="s">
        <v>171</v>
      </c>
      <c r="E80" s="31" t="s">
        <v>5</v>
      </c>
      <c r="F80" s="31" t="s">
        <v>11</v>
      </c>
      <c r="G80" s="31" t="s">
        <v>13</v>
      </c>
      <c r="H80" s="37"/>
    </row>
    <row r="81" spans="1:8" ht="15.75" customHeight="1" x14ac:dyDescent="0.25">
      <c r="A81" s="16">
        <v>27</v>
      </c>
      <c r="B81" s="28">
        <v>9963</v>
      </c>
      <c r="C81" s="45" t="s">
        <v>172</v>
      </c>
      <c r="D81" s="30" t="s">
        <v>173</v>
      </c>
      <c r="E81" s="31" t="s">
        <v>5</v>
      </c>
      <c r="F81" s="31" t="s">
        <v>11</v>
      </c>
      <c r="G81" s="31" t="s">
        <v>13</v>
      </c>
      <c r="H81" s="37"/>
    </row>
    <row r="82" spans="1:8" ht="15.75" customHeight="1" x14ac:dyDescent="0.25">
      <c r="A82" s="16">
        <v>28</v>
      </c>
      <c r="B82" s="28">
        <v>9967</v>
      </c>
      <c r="C82" s="45" t="s">
        <v>174</v>
      </c>
      <c r="D82" s="30" t="s">
        <v>175</v>
      </c>
      <c r="E82" s="31" t="s">
        <v>5</v>
      </c>
      <c r="F82" s="31" t="s">
        <v>11</v>
      </c>
      <c r="G82" s="31" t="s">
        <v>13</v>
      </c>
      <c r="H82" s="37"/>
    </row>
    <row r="83" spans="1:8" ht="15.75" customHeight="1" x14ac:dyDescent="0.25">
      <c r="A83" s="16">
        <v>29</v>
      </c>
      <c r="B83" s="28">
        <v>9970</v>
      </c>
      <c r="C83" s="45" t="s">
        <v>176</v>
      </c>
      <c r="D83" s="30" t="s">
        <v>41</v>
      </c>
      <c r="E83" s="31" t="s">
        <v>6</v>
      </c>
      <c r="F83" s="31" t="s">
        <v>11</v>
      </c>
      <c r="G83" s="31" t="s">
        <v>13</v>
      </c>
      <c r="H83" s="37"/>
    </row>
    <row r="84" spans="1:8" ht="15.75" customHeight="1" x14ac:dyDescent="0.25">
      <c r="A84" s="16">
        <v>30</v>
      </c>
      <c r="B84" s="28">
        <v>9973</v>
      </c>
      <c r="C84" s="45" t="s">
        <v>177</v>
      </c>
      <c r="D84" s="30" t="s">
        <v>178</v>
      </c>
      <c r="E84" s="31" t="s">
        <v>5</v>
      </c>
      <c r="F84" s="31" t="s">
        <v>11</v>
      </c>
      <c r="G84" s="31" t="s">
        <v>13</v>
      </c>
      <c r="H84" s="37"/>
    </row>
    <row r="85" spans="1:8" ht="15.75" customHeight="1" x14ac:dyDescent="0.25">
      <c r="A85" s="16">
        <v>31</v>
      </c>
      <c r="B85" s="28">
        <v>9976</v>
      </c>
      <c r="C85" s="45" t="s">
        <v>179</v>
      </c>
      <c r="D85" s="30" t="s">
        <v>180</v>
      </c>
      <c r="E85" s="31" t="s">
        <v>6</v>
      </c>
      <c r="F85" s="31" t="s">
        <v>11</v>
      </c>
      <c r="G85" s="31" t="s">
        <v>14</v>
      </c>
      <c r="H85" s="37"/>
    </row>
    <row r="86" spans="1:8" ht="15.75" customHeight="1" x14ac:dyDescent="0.25">
      <c r="A86" s="16">
        <v>32</v>
      </c>
      <c r="B86" s="28">
        <v>9985</v>
      </c>
      <c r="C86" s="45" t="s">
        <v>181</v>
      </c>
      <c r="D86" s="30" t="s">
        <v>182</v>
      </c>
      <c r="E86" s="31" t="s">
        <v>6</v>
      </c>
      <c r="F86" s="31" t="s">
        <v>11</v>
      </c>
      <c r="G86" s="31" t="s">
        <v>14</v>
      </c>
      <c r="H86" s="37"/>
    </row>
    <row r="87" spans="1:8" ht="15.75" customHeight="1" x14ac:dyDescent="0.25">
      <c r="A87" s="16">
        <v>33</v>
      </c>
      <c r="B87" s="28">
        <v>9988</v>
      </c>
      <c r="C87" s="45" t="s">
        <v>183</v>
      </c>
      <c r="D87" s="30" t="s">
        <v>184</v>
      </c>
      <c r="E87" s="31" t="s">
        <v>6</v>
      </c>
      <c r="F87" s="31" t="s">
        <v>11</v>
      </c>
      <c r="G87" s="31" t="s">
        <v>14</v>
      </c>
      <c r="H87" s="37"/>
    </row>
    <row r="88" spans="1:8" ht="15.75" customHeight="1" x14ac:dyDescent="0.25">
      <c r="A88" s="16">
        <v>34</v>
      </c>
      <c r="B88" s="28">
        <v>9989</v>
      </c>
      <c r="C88" s="45" t="s">
        <v>185</v>
      </c>
      <c r="D88" s="30" t="s">
        <v>186</v>
      </c>
      <c r="E88" s="31" t="s">
        <v>6</v>
      </c>
      <c r="F88" s="31" t="s">
        <v>11</v>
      </c>
      <c r="G88" s="31" t="s">
        <v>14</v>
      </c>
      <c r="H88" s="37"/>
    </row>
    <row r="89" spans="1:8" ht="15.75" customHeight="1" x14ac:dyDescent="0.25">
      <c r="A89" s="16">
        <v>35</v>
      </c>
      <c r="B89" s="28">
        <v>10001</v>
      </c>
      <c r="C89" s="45" t="s">
        <v>187</v>
      </c>
      <c r="D89" s="30" t="s">
        <v>188</v>
      </c>
      <c r="E89" s="31" t="s">
        <v>6</v>
      </c>
      <c r="F89" s="31" t="s">
        <v>11</v>
      </c>
      <c r="G89" s="31" t="s">
        <v>14</v>
      </c>
      <c r="H89" s="37"/>
    </row>
    <row r="90" spans="1:8" ht="15.75" customHeight="1" x14ac:dyDescent="0.25">
      <c r="A90" s="16">
        <v>36</v>
      </c>
      <c r="B90" s="28">
        <v>10012</v>
      </c>
      <c r="C90" s="45" t="s">
        <v>189</v>
      </c>
      <c r="D90" s="30" t="s">
        <v>190</v>
      </c>
      <c r="E90" s="31" t="s">
        <v>6</v>
      </c>
      <c r="F90" s="31" t="s">
        <v>11</v>
      </c>
      <c r="G90" s="31" t="s">
        <v>13</v>
      </c>
      <c r="H90" s="37"/>
    </row>
    <row r="91" spans="1:8" ht="15.75" customHeight="1" x14ac:dyDescent="0.2">
      <c r="A91" s="3" t="s">
        <v>5</v>
      </c>
      <c r="B91" s="3">
        <f>COUNTIF(E55:E90,A91)</f>
        <v>10</v>
      </c>
      <c r="C91" s="48" t="s">
        <v>8</v>
      </c>
      <c r="D91" s="6" t="s">
        <v>11</v>
      </c>
      <c r="E91" s="3">
        <f>COUNTIF(F55:F90,D91)</f>
        <v>34</v>
      </c>
      <c r="F91" s="3"/>
      <c r="G91" s="7"/>
      <c r="H91" s="9"/>
    </row>
    <row r="92" spans="1:8" ht="15.75" customHeight="1" x14ac:dyDescent="0.2">
      <c r="A92" s="3" t="s">
        <v>6</v>
      </c>
      <c r="B92" s="5">
        <f>COUNTIF(E55:E90,A92)</f>
        <v>26</v>
      </c>
      <c r="C92" s="48" t="s">
        <v>8</v>
      </c>
      <c r="D92" s="6" t="s">
        <v>49</v>
      </c>
      <c r="E92" s="3">
        <f>COUNTIF(F55:F90,D92)</f>
        <v>1</v>
      </c>
      <c r="F92" s="3"/>
      <c r="G92" s="7"/>
      <c r="H92" s="9"/>
    </row>
    <row r="93" spans="1:8" ht="15.75" customHeight="1" x14ac:dyDescent="0.2">
      <c r="A93" s="3" t="s">
        <v>7</v>
      </c>
      <c r="B93" s="3">
        <f>B91+B92</f>
        <v>36</v>
      </c>
      <c r="C93" s="48" t="s">
        <v>8</v>
      </c>
      <c r="D93" s="6" t="s">
        <v>12</v>
      </c>
      <c r="E93" s="3">
        <f>COUNTIF(F55:F90,D93)</f>
        <v>1</v>
      </c>
      <c r="F93" s="3"/>
      <c r="G93" s="7"/>
      <c r="H93" s="9"/>
    </row>
    <row r="94" spans="1:8" ht="15.75" customHeight="1" x14ac:dyDescent="0.2">
      <c r="D94" s="40" t="s">
        <v>13</v>
      </c>
      <c r="E94" s="41">
        <f>COUNTIF(G55:G90,D94)</f>
        <v>20</v>
      </c>
      <c r="F94" s="3"/>
      <c r="G94" s="7"/>
      <c r="H94" s="9"/>
    </row>
    <row r="95" spans="1:8" ht="15.75" customHeight="1" x14ac:dyDescent="0.2">
      <c r="D95" s="40" t="s">
        <v>14</v>
      </c>
      <c r="E95" s="41">
        <f>COUNTIF(G55:G90,D95)</f>
        <v>16</v>
      </c>
      <c r="F95" s="3"/>
      <c r="G95" s="7"/>
      <c r="H95" s="9"/>
    </row>
    <row r="96" spans="1:8" ht="15.75" customHeight="1" x14ac:dyDescent="0.2">
      <c r="A96" s="10" t="s">
        <v>1076</v>
      </c>
      <c r="B96" s="10"/>
      <c r="C96" s="43"/>
      <c r="D96" s="19"/>
      <c r="E96" s="8"/>
      <c r="F96" s="8"/>
      <c r="G96" s="7"/>
    </row>
    <row r="97" spans="1:7" ht="15.75" customHeight="1" x14ac:dyDescent="0.2">
      <c r="A97" s="88" t="s">
        <v>0</v>
      </c>
      <c r="B97" s="89"/>
      <c r="C97" s="89"/>
      <c r="D97" s="90" t="s">
        <v>1</v>
      </c>
      <c r="E97" s="92" t="s">
        <v>9</v>
      </c>
      <c r="F97" s="86" t="s">
        <v>10</v>
      </c>
      <c r="G97" s="96" t="s">
        <v>48</v>
      </c>
    </row>
    <row r="98" spans="1:7" ht="15.75" customHeight="1" x14ac:dyDescent="0.2">
      <c r="A98" s="20" t="s">
        <v>2</v>
      </c>
      <c r="B98" s="20" t="s">
        <v>3</v>
      </c>
      <c r="C98" s="44" t="s">
        <v>4</v>
      </c>
      <c r="D98" s="91"/>
      <c r="E98" s="93"/>
      <c r="F98" s="87"/>
      <c r="G98" s="97"/>
    </row>
    <row r="99" spans="1:7" ht="15.75" customHeight="1" x14ac:dyDescent="0.25">
      <c r="A99" s="16">
        <v>1</v>
      </c>
      <c r="B99" s="28">
        <v>9763</v>
      </c>
      <c r="C99" s="45" t="s">
        <v>191</v>
      </c>
      <c r="D99" s="30" t="s">
        <v>192</v>
      </c>
      <c r="E99" s="31" t="s">
        <v>6</v>
      </c>
      <c r="F99" s="31" t="s">
        <v>11</v>
      </c>
      <c r="G99" s="31" t="s">
        <v>13</v>
      </c>
    </row>
    <row r="100" spans="1:7" ht="15.75" customHeight="1" x14ac:dyDescent="0.25">
      <c r="A100" s="16">
        <v>2</v>
      </c>
      <c r="B100" s="28">
        <v>9770</v>
      </c>
      <c r="C100" s="45" t="s">
        <v>193</v>
      </c>
      <c r="D100" s="30" t="s">
        <v>194</v>
      </c>
      <c r="E100" s="31" t="s">
        <v>6</v>
      </c>
      <c r="F100" s="31" t="s">
        <v>11</v>
      </c>
      <c r="G100" s="31" t="s">
        <v>13</v>
      </c>
    </row>
    <row r="101" spans="1:7" ht="15.75" customHeight="1" x14ac:dyDescent="0.25">
      <c r="A101" s="16">
        <v>3</v>
      </c>
      <c r="B101" s="28">
        <v>9777</v>
      </c>
      <c r="C101" s="45" t="s">
        <v>195</v>
      </c>
      <c r="D101" s="32" t="s">
        <v>196</v>
      </c>
      <c r="E101" s="31" t="s">
        <v>5</v>
      </c>
      <c r="F101" s="31" t="s">
        <v>11</v>
      </c>
      <c r="G101" s="31" t="s">
        <v>13</v>
      </c>
    </row>
    <row r="102" spans="1:7" ht="15.75" customHeight="1" x14ac:dyDescent="0.25">
      <c r="A102" s="16">
        <v>4</v>
      </c>
      <c r="B102" s="28">
        <v>9780</v>
      </c>
      <c r="C102" s="45" t="s">
        <v>197</v>
      </c>
      <c r="D102" s="30" t="s">
        <v>18</v>
      </c>
      <c r="E102" s="31" t="s">
        <v>6</v>
      </c>
      <c r="F102" s="31" t="s">
        <v>11</v>
      </c>
      <c r="G102" s="31" t="s">
        <v>13</v>
      </c>
    </row>
    <row r="103" spans="1:7" ht="15.75" customHeight="1" x14ac:dyDescent="0.25">
      <c r="A103" s="16">
        <v>5</v>
      </c>
      <c r="B103" s="28">
        <v>9787</v>
      </c>
      <c r="C103" s="45" t="s">
        <v>198</v>
      </c>
      <c r="D103" s="30" t="s">
        <v>199</v>
      </c>
      <c r="E103" s="31" t="s">
        <v>5</v>
      </c>
      <c r="F103" s="31" t="s">
        <v>11</v>
      </c>
      <c r="G103" s="31" t="s">
        <v>13</v>
      </c>
    </row>
    <row r="104" spans="1:7" ht="15.75" customHeight="1" x14ac:dyDescent="0.25">
      <c r="A104" s="16">
        <v>6</v>
      </c>
      <c r="B104" s="28">
        <v>9788</v>
      </c>
      <c r="C104" s="45" t="s">
        <v>200</v>
      </c>
      <c r="D104" s="30" t="s">
        <v>201</v>
      </c>
      <c r="E104" s="31" t="s">
        <v>6</v>
      </c>
      <c r="F104" s="31" t="s">
        <v>11</v>
      </c>
      <c r="G104" s="31" t="s">
        <v>14</v>
      </c>
    </row>
    <row r="105" spans="1:7" ht="15.75" customHeight="1" x14ac:dyDescent="0.25">
      <c r="A105" s="16">
        <v>7</v>
      </c>
      <c r="B105" s="28">
        <v>9791</v>
      </c>
      <c r="C105" s="45" t="s">
        <v>202</v>
      </c>
      <c r="D105" s="30" t="s">
        <v>203</v>
      </c>
      <c r="E105" s="31" t="s">
        <v>6</v>
      </c>
      <c r="F105" s="31" t="s">
        <v>11</v>
      </c>
      <c r="G105" s="31" t="s">
        <v>14</v>
      </c>
    </row>
    <row r="106" spans="1:7" ht="15.75" customHeight="1" x14ac:dyDescent="0.25">
      <c r="A106" s="16">
        <v>8</v>
      </c>
      <c r="B106" s="28">
        <v>9802</v>
      </c>
      <c r="C106" s="45" t="s">
        <v>204</v>
      </c>
      <c r="D106" s="30" t="s">
        <v>20</v>
      </c>
      <c r="E106" s="31" t="s">
        <v>6</v>
      </c>
      <c r="F106" s="31" t="s">
        <v>11</v>
      </c>
      <c r="G106" s="31" t="s">
        <v>13</v>
      </c>
    </row>
    <row r="107" spans="1:7" ht="15.75" customHeight="1" x14ac:dyDescent="0.25">
      <c r="A107" s="16">
        <v>9</v>
      </c>
      <c r="B107" s="28">
        <v>9811</v>
      </c>
      <c r="C107" s="45" t="s">
        <v>205</v>
      </c>
      <c r="D107" s="30" t="s">
        <v>206</v>
      </c>
      <c r="E107" s="31" t="s">
        <v>6</v>
      </c>
      <c r="F107" s="31" t="s">
        <v>11</v>
      </c>
      <c r="G107" s="31" t="s">
        <v>13</v>
      </c>
    </row>
    <row r="108" spans="1:7" ht="15.75" customHeight="1" x14ac:dyDescent="0.25">
      <c r="A108" s="16">
        <v>10</v>
      </c>
      <c r="B108" s="28">
        <v>9821</v>
      </c>
      <c r="C108" s="45" t="s">
        <v>207</v>
      </c>
      <c r="D108" s="30" t="s">
        <v>22</v>
      </c>
      <c r="E108" s="31" t="s">
        <v>6</v>
      </c>
      <c r="F108" s="31" t="s">
        <v>11</v>
      </c>
      <c r="G108" s="31" t="s">
        <v>13</v>
      </c>
    </row>
    <row r="109" spans="1:7" ht="15.75" customHeight="1" x14ac:dyDescent="0.25">
      <c r="A109" s="16">
        <v>11</v>
      </c>
      <c r="B109" s="28">
        <v>9823</v>
      </c>
      <c r="C109" s="45" t="s">
        <v>208</v>
      </c>
      <c r="D109" s="30" t="s">
        <v>209</v>
      </c>
      <c r="E109" s="31" t="s">
        <v>6</v>
      </c>
      <c r="F109" s="31" t="s">
        <v>11</v>
      </c>
      <c r="G109" s="31" t="s">
        <v>13</v>
      </c>
    </row>
    <row r="110" spans="1:7" ht="15.75" customHeight="1" x14ac:dyDescent="0.25">
      <c r="A110" s="16">
        <v>12</v>
      </c>
      <c r="B110" s="28">
        <v>9828</v>
      </c>
      <c r="C110" s="45" t="s">
        <v>210</v>
      </c>
      <c r="D110" s="30" t="s">
        <v>211</v>
      </c>
      <c r="E110" s="31" t="s">
        <v>6</v>
      </c>
      <c r="F110" s="31" t="s">
        <v>11</v>
      </c>
      <c r="G110" s="31" t="s">
        <v>14</v>
      </c>
    </row>
    <row r="111" spans="1:7" ht="15.75" customHeight="1" x14ac:dyDescent="0.25">
      <c r="A111" s="16">
        <v>13</v>
      </c>
      <c r="B111" s="28">
        <v>9841</v>
      </c>
      <c r="C111" s="45" t="s">
        <v>212</v>
      </c>
      <c r="D111" s="30" t="s">
        <v>213</v>
      </c>
      <c r="E111" s="31" t="s">
        <v>6</v>
      </c>
      <c r="F111" s="31" t="s">
        <v>11</v>
      </c>
      <c r="G111" s="31" t="s">
        <v>14</v>
      </c>
    </row>
    <row r="112" spans="1:7" ht="15.75" customHeight="1" x14ac:dyDescent="0.25">
      <c r="A112" s="16">
        <v>14</v>
      </c>
      <c r="B112" s="28">
        <v>9842</v>
      </c>
      <c r="C112" s="50" t="s">
        <v>214</v>
      </c>
      <c r="D112" s="17" t="s">
        <v>215</v>
      </c>
      <c r="E112" s="18" t="s">
        <v>6</v>
      </c>
      <c r="F112" s="31" t="s">
        <v>11</v>
      </c>
      <c r="G112" s="31" t="s">
        <v>13</v>
      </c>
    </row>
    <row r="113" spans="1:7" ht="15.75" customHeight="1" x14ac:dyDescent="0.25">
      <c r="A113" s="16">
        <v>15</v>
      </c>
      <c r="B113" s="28">
        <v>9866</v>
      </c>
      <c r="C113" s="45" t="s">
        <v>216</v>
      </c>
      <c r="D113" s="30" t="s">
        <v>217</v>
      </c>
      <c r="E113" s="31" t="s">
        <v>5</v>
      </c>
      <c r="F113" s="31" t="s">
        <v>11</v>
      </c>
      <c r="G113" s="31" t="s">
        <v>13</v>
      </c>
    </row>
    <row r="114" spans="1:7" ht="15.75" customHeight="1" x14ac:dyDescent="0.25">
      <c r="A114" s="16">
        <v>16</v>
      </c>
      <c r="B114" s="28">
        <v>9870</v>
      </c>
      <c r="C114" s="45" t="s">
        <v>218</v>
      </c>
      <c r="D114" s="30" t="s">
        <v>219</v>
      </c>
      <c r="E114" s="31" t="s">
        <v>6</v>
      </c>
      <c r="F114" s="31" t="s">
        <v>11</v>
      </c>
      <c r="G114" s="31" t="s">
        <v>13</v>
      </c>
    </row>
    <row r="115" spans="1:7" ht="15.75" customHeight="1" x14ac:dyDescent="0.25">
      <c r="A115" s="16">
        <v>17</v>
      </c>
      <c r="B115" s="28">
        <v>9873</v>
      </c>
      <c r="C115" s="45" t="s">
        <v>220</v>
      </c>
      <c r="D115" s="30" t="s">
        <v>221</v>
      </c>
      <c r="E115" s="31" t="s">
        <v>6</v>
      </c>
      <c r="F115" s="31" t="s">
        <v>11</v>
      </c>
      <c r="G115" s="31" t="s">
        <v>13</v>
      </c>
    </row>
    <row r="116" spans="1:7" ht="15.75" customHeight="1" x14ac:dyDescent="0.25">
      <c r="A116" s="16">
        <v>18</v>
      </c>
      <c r="B116" s="28">
        <v>9877</v>
      </c>
      <c r="C116" s="45" t="s">
        <v>222</v>
      </c>
      <c r="D116" s="30" t="s">
        <v>31</v>
      </c>
      <c r="E116" s="31" t="s">
        <v>6</v>
      </c>
      <c r="F116" s="31" t="s">
        <v>11</v>
      </c>
      <c r="G116" s="31" t="s">
        <v>13</v>
      </c>
    </row>
    <row r="117" spans="1:7" ht="15.75" customHeight="1" x14ac:dyDescent="0.25">
      <c r="A117" s="16">
        <v>19</v>
      </c>
      <c r="B117" s="28">
        <v>9880</v>
      </c>
      <c r="C117" s="45" t="s">
        <v>223</v>
      </c>
      <c r="D117" s="30" t="s">
        <v>32</v>
      </c>
      <c r="E117" s="31" t="s">
        <v>6</v>
      </c>
      <c r="F117" s="31" t="s">
        <v>11</v>
      </c>
      <c r="G117" s="31" t="s">
        <v>13</v>
      </c>
    </row>
    <row r="118" spans="1:7" ht="15.75" customHeight="1" x14ac:dyDescent="0.25">
      <c r="A118" s="16">
        <v>20</v>
      </c>
      <c r="B118" s="28">
        <v>9896</v>
      </c>
      <c r="C118" s="45" t="s">
        <v>224</v>
      </c>
      <c r="D118" s="30" t="s">
        <v>225</v>
      </c>
      <c r="E118" s="31" t="s">
        <v>6</v>
      </c>
      <c r="F118" s="31" t="s">
        <v>11</v>
      </c>
      <c r="G118" s="31" t="s">
        <v>14</v>
      </c>
    </row>
    <row r="119" spans="1:7" ht="15.75" customHeight="1" x14ac:dyDescent="0.25">
      <c r="A119" s="16">
        <v>21</v>
      </c>
      <c r="B119" s="28">
        <v>9915</v>
      </c>
      <c r="C119" s="45" t="s">
        <v>226</v>
      </c>
      <c r="D119" s="30" t="s">
        <v>227</v>
      </c>
      <c r="E119" s="31" t="s">
        <v>6</v>
      </c>
      <c r="F119" s="31" t="s">
        <v>11</v>
      </c>
      <c r="G119" s="31" t="s">
        <v>13</v>
      </c>
    </row>
    <row r="120" spans="1:7" ht="15.75" customHeight="1" x14ac:dyDescent="0.25">
      <c r="A120" s="16">
        <v>22</v>
      </c>
      <c r="B120" s="28">
        <v>9921</v>
      </c>
      <c r="C120" s="45" t="s">
        <v>228</v>
      </c>
      <c r="D120" s="30" t="s">
        <v>34</v>
      </c>
      <c r="E120" s="31" t="s">
        <v>6</v>
      </c>
      <c r="F120" s="31" t="s">
        <v>11</v>
      </c>
      <c r="G120" s="31" t="s">
        <v>13</v>
      </c>
    </row>
    <row r="121" spans="1:7" ht="15.75" customHeight="1" x14ac:dyDescent="0.25">
      <c r="A121" s="16">
        <v>23</v>
      </c>
      <c r="B121" s="28">
        <v>9923</v>
      </c>
      <c r="C121" s="45" t="s">
        <v>229</v>
      </c>
      <c r="D121" s="30" t="s">
        <v>230</v>
      </c>
      <c r="E121" s="31" t="s">
        <v>6</v>
      </c>
      <c r="F121" s="31" t="s">
        <v>11</v>
      </c>
      <c r="G121" s="31" t="s">
        <v>13</v>
      </c>
    </row>
    <row r="122" spans="1:7" ht="15.75" customHeight="1" x14ac:dyDescent="0.25">
      <c r="A122" s="16">
        <v>24</v>
      </c>
      <c r="B122" s="28">
        <v>9929</v>
      </c>
      <c r="C122" s="45" t="s">
        <v>231</v>
      </c>
      <c r="D122" s="32" t="s">
        <v>232</v>
      </c>
      <c r="E122" s="31" t="s">
        <v>6</v>
      </c>
      <c r="F122" s="31" t="s">
        <v>11</v>
      </c>
      <c r="G122" s="31" t="s">
        <v>13</v>
      </c>
    </row>
    <row r="123" spans="1:7" ht="15.75" customHeight="1" x14ac:dyDescent="0.25">
      <c r="A123" s="16">
        <v>25</v>
      </c>
      <c r="B123" s="28">
        <v>9945</v>
      </c>
      <c r="C123" s="45" t="s">
        <v>233</v>
      </c>
      <c r="D123" s="30" t="s">
        <v>234</v>
      </c>
      <c r="E123" s="31" t="s">
        <v>6</v>
      </c>
      <c r="F123" s="31" t="s">
        <v>11</v>
      </c>
      <c r="G123" s="31" t="s">
        <v>13</v>
      </c>
    </row>
    <row r="124" spans="1:7" ht="15.75" customHeight="1" x14ac:dyDescent="0.25">
      <c r="A124" s="16">
        <v>26</v>
      </c>
      <c r="B124" s="28">
        <v>9947</v>
      </c>
      <c r="C124" s="45" t="s">
        <v>235</v>
      </c>
      <c r="D124" s="30" t="s">
        <v>236</v>
      </c>
      <c r="E124" s="31" t="s">
        <v>6</v>
      </c>
      <c r="F124" s="31" t="s">
        <v>11</v>
      </c>
      <c r="G124" s="31" t="s">
        <v>13</v>
      </c>
    </row>
    <row r="125" spans="1:7" ht="15.75" customHeight="1" x14ac:dyDescent="0.25">
      <c r="A125" s="16">
        <v>27</v>
      </c>
      <c r="B125" s="28">
        <v>9949</v>
      </c>
      <c r="C125" s="45" t="s">
        <v>237</v>
      </c>
      <c r="D125" s="30" t="s">
        <v>238</v>
      </c>
      <c r="E125" s="31" t="s">
        <v>6</v>
      </c>
      <c r="F125" s="31" t="s">
        <v>11</v>
      </c>
      <c r="G125" s="31" t="s">
        <v>14</v>
      </c>
    </row>
    <row r="126" spans="1:7" ht="15.75" customHeight="1" x14ac:dyDescent="0.25">
      <c r="A126" s="16">
        <v>28</v>
      </c>
      <c r="B126" s="28">
        <v>9964</v>
      </c>
      <c r="C126" s="45" t="s">
        <v>239</v>
      </c>
      <c r="D126" s="30" t="s">
        <v>240</v>
      </c>
      <c r="E126" s="31" t="s">
        <v>5</v>
      </c>
      <c r="F126" s="31" t="s">
        <v>11</v>
      </c>
      <c r="G126" s="31" t="s">
        <v>14</v>
      </c>
    </row>
    <row r="127" spans="1:7" ht="15.75" customHeight="1" x14ac:dyDescent="0.25">
      <c r="A127" s="16">
        <v>29</v>
      </c>
      <c r="B127" s="28">
        <v>9960</v>
      </c>
      <c r="C127" s="45" t="s">
        <v>241</v>
      </c>
      <c r="D127" s="30" t="s">
        <v>242</v>
      </c>
      <c r="E127" s="31" t="s">
        <v>6</v>
      </c>
      <c r="F127" s="31" t="s">
        <v>11</v>
      </c>
      <c r="G127" s="31" t="s">
        <v>13</v>
      </c>
    </row>
    <row r="128" spans="1:7" ht="15.75" customHeight="1" x14ac:dyDescent="0.25">
      <c r="A128" s="16">
        <v>30</v>
      </c>
      <c r="B128" s="28">
        <v>9982</v>
      </c>
      <c r="C128" s="45" t="s">
        <v>243</v>
      </c>
      <c r="D128" s="30" t="s">
        <v>42</v>
      </c>
      <c r="E128" s="31" t="s">
        <v>6</v>
      </c>
      <c r="F128" s="31" t="s">
        <v>11</v>
      </c>
      <c r="G128" s="31" t="s">
        <v>13</v>
      </c>
    </row>
    <row r="129" spans="1:8" ht="15.75" customHeight="1" x14ac:dyDescent="0.25">
      <c r="A129" s="16">
        <v>31</v>
      </c>
      <c r="B129" s="28">
        <v>9983</v>
      </c>
      <c r="C129" s="45" t="s">
        <v>244</v>
      </c>
      <c r="D129" s="30" t="s">
        <v>43</v>
      </c>
      <c r="E129" s="31" t="s">
        <v>6</v>
      </c>
      <c r="F129" s="31" t="s">
        <v>11</v>
      </c>
      <c r="G129" s="31" t="s">
        <v>13</v>
      </c>
    </row>
    <row r="130" spans="1:8" ht="15.75" customHeight="1" x14ac:dyDescent="0.25">
      <c r="A130" s="16">
        <v>32</v>
      </c>
      <c r="B130" s="28">
        <v>9993</v>
      </c>
      <c r="C130" s="45" t="s">
        <v>245</v>
      </c>
      <c r="D130" s="30" t="s">
        <v>246</v>
      </c>
      <c r="E130" s="31" t="s">
        <v>6</v>
      </c>
      <c r="F130" s="31" t="s">
        <v>11</v>
      </c>
      <c r="G130" s="31" t="s">
        <v>13</v>
      </c>
    </row>
    <row r="131" spans="1:8" ht="15.75" customHeight="1" x14ac:dyDescent="0.25">
      <c r="A131" s="16">
        <v>33</v>
      </c>
      <c r="B131" s="28">
        <v>9999</v>
      </c>
      <c r="C131" s="45" t="s">
        <v>247</v>
      </c>
      <c r="D131" s="30" t="s">
        <v>248</v>
      </c>
      <c r="E131" s="31" t="s">
        <v>6</v>
      </c>
      <c r="F131" s="31" t="s">
        <v>11</v>
      </c>
      <c r="G131" s="31" t="s">
        <v>14</v>
      </c>
    </row>
    <row r="132" spans="1:8" ht="15.75" customHeight="1" x14ac:dyDescent="0.25">
      <c r="A132" s="16">
        <v>34</v>
      </c>
      <c r="B132" s="28">
        <v>10003</v>
      </c>
      <c r="C132" s="45" t="s">
        <v>249</v>
      </c>
      <c r="D132" s="30" t="s">
        <v>250</v>
      </c>
      <c r="E132" s="31" t="s">
        <v>6</v>
      </c>
      <c r="F132" s="31" t="s">
        <v>11</v>
      </c>
      <c r="G132" s="31" t="s">
        <v>14</v>
      </c>
    </row>
    <row r="133" spans="1:8" ht="15.75" customHeight="1" x14ac:dyDescent="0.25">
      <c r="A133" s="16">
        <v>35</v>
      </c>
      <c r="B133" s="28">
        <v>10008</v>
      </c>
      <c r="C133" s="45" t="s">
        <v>251</v>
      </c>
      <c r="D133" s="30" t="s">
        <v>45</v>
      </c>
      <c r="E133" s="31" t="s">
        <v>6</v>
      </c>
      <c r="F133" s="31" t="s">
        <v>11</v>
      </c>
      <c r="G133" s="31" t="s">
        <v>13</v>
      </c>
    </row>
    <row r="134" spans="1:8" ht="15.75" customHeight="1" x14ac:dyDescent="0.25">
      <c r="A134" s="16">
        <v>36</v>
      </c>
      <c r="B134" s="33">
        <v>10010</v>
      </c>
      <c r="C134" s="47" t="s">
        <v>252</v>
      </c>
      <c r="D134" s="35" t="s">
        <v>253</v>
      </c>
      <c r="E134" s="36" t="s">
        <v>6</v>
      </c>
      <c r="F134" s="36" t="s">
        <v>11</v>
      </c>
      <c r="G134" s="31" t="s">
        <v>14</v>
      </c>
    </row>
    <row r="135" spans="1:8" ht="15.75" customHeight="1" x14ac:dyDescent="0.2">
      <c r="A135" s="3" t="s">
        <v>5</v>
      </c>
      <c r="B135" s="3">
        <f>COUNTIF(E99:E134,A135)</f>
        <v>4</v>
      </c>
      <c r="C135" s="48" t="s">
        <v>8</v>
      </c>
      <c r="D135" s="6" t="s">
        <v>11</v>
      </c>
      <c r="E135" s="3">
        <f>COUNTIF(F99:F134,D135)</f>
        <v>36</v>
      </c>
      <c r="F135" s="3"/>
      <c r="G135" s="7"/>
      <c r="H135" s="9"/>
    </row>
    <row r="136" spans="1:8" ht="15.75" customHeight="1" x14ac:dyDescent="0.2">
      <c r="A136" s="3" t="s">
        <v>6</v>
      </c>
      <c r="B136" s="5">
        <f>COUNTIF(E99:E134,A136)</f>
        <v>32</v>
      </c>
      <c r="C136" s="48" t="s">
        <v>8</v>
      </c>
      <c r="D136" s="6" t="s">
        <v>49</v>
      </c>
      <c r="E136" s="3">
        <f>COUNTIF(F99:F134,D136)</f>
        <v>0</v>
      </c>
      <c r="F136" s="3"/>
      <c r="G136" s="7"/>
      <c r="H136" s="9"/>
    </row>
    <row r="137" spans="1:8" ht="15.75" customHeight="1" x14ac:dyDescent="0.2">
      <c r="A137" s="3" t="s">
        <v>7</v>
      </c>
      <c r="B137" s="3">
        <f>B135+B136</f>
        <v>36</v>
      </c>
      <c r="C137" s="48" t="s">
        <v>8</v>
      </c>
      <c r="D137" s="6" t="s">
        <v>12</v>
      </c>
      <c r="E137" s="3">
        <f>COUNTIF(F99:F134,D137)</f>
        <v>0</v>
      </c>
      <c r="F137" s="3"/>
      <c r="G137" s="7"/>
      <c r="H137" s="9"/>
    </row>
    <row r="138" spans="1:8" ht="15.75" customHeight="1" x14ac:dyDescent="0.2">
      <c r="D138" s="40" t="s">
        <v>13</v>
      </c>
      <c r="E138" s="41">
        <f>COUNTIF(G99:G134,D138)</f>
        <v>26</v>
      </c>
      <c r="F138" s="3"/>
      <c r="G138" s="7"/>
      <c r="H138" s="9"/>
    </row>
    <row r="139" spans="1:8" ht="15.75" customHeight="1" x14ac:dyDescent="0.2">
      <c r="D139" s="40" t="s">
        <v>14</v>
      </c>
      <c r="E139" s="41">
        <f>COUNTIF(G99:G134,D139)</f>
        <v>10</v>
      </c>
      <c r="F139" s="3"/>
      <c r="G139" s="7"/>
      <c r="H139" s="9"/>
    </row>
    <row r="140" spans="1:8" ht="15.75" customHeight="1" x14ac:dyDescent="0.2">
      <c r="A140" s="10" t="s">
        <v>1077</v>
      </c>
      <c r="B140" s="10"/>
      <c r="C140" s="43"/>
      <c r="D140" s="19"/>
      <c r="E140" s="8"/>
      <c r="F140" s="8"/>
      <c r="G140" s="7"/>
    </row>
    <row r="141" spans="1:8" ht="15.75" customHeight="1" x14ac:dyDescent="0.2">
      <c r="A141" s="88" t="s">
        <v>0</v>
      </c>
      <c r="B141" s="89"/>
      <c r="C141" s="89"/>
      <c r="D141" s="90" t="s">
        <v>1</v>
      </c>
      <c r="E141" s="92" t="s">
        <v>9</v>
      </c>
      <c r="F141" s="86" t="s">
        <v>10</v>
      </c>
      <c r="G141" s="96" t="s">
        <v>48</v>
      </c>
    </row>
    <row r="142" spans="1:8" ht="15.75" customHeight="1" x14ac:dyDescent="0.2">
      <c r="A142" s="20" t="s">
        <v>2</v>
      </c>
      <c r="B142" s="20" t="s">
        <v>3</v>
      </c>
      <c r="C142" s="44" t="s">
        <v>4</v>
      </c>
      <c r="D142" s="91"/>
      <c r="E142" s="93"/>
      <c r="F142" s="87"/>
      <c r="G142" s="97"/>
    </row>
    <row r="143" spans="1:8" ht="15.75" customHeight="1" x14ac:dyDescent="0.25">
      <c r="A143" s="16">
        <v>1</v>
      </c>
      <c r="B143" s="28">
        <v>9773</v>
      </c>
      <c r="C143" s="45" t="s">
        <v>254</v>
      </c>
      <c r="D143" s="30" t="s">
        <v>255</v>
      </c>
      <c r="E143" s="31" t="s">
        <v>6</v>
      </c>
      <c r="F143" s="31" t="s">
        <v>11</v>
      </c>
      <c r="G143" s="31" t="s">
        <v>13</v>
      </c>
    </row>
    <row r="144" spans="1:8" ht="15.75" customHeight="1" x14ac:dyDescent="0.25">
      <c r="A144" s="16">
        <v>2</v>
      </c>
      <c r="B144" s="28">
        <v>9776</v>
      </c>
      <c r="C144" s="45" t="s">
        <v>256</v>
      </c>
      <c r="D144" s="30" t="s">
        <v>257</v>
      </c>
      <c r="E144" s="31" t="s">
        <v>6</v>
      </c>
      <c r="F144" s="31" t="s">
        <v>12</v>
      </c>
      <c r="G144" s="31" t="s">
        <v>14</v>
      </c>
    </row>
    <row r="145" spans="1:7" ht="15.75" customHeight="1" x14ac:dyDescent="0.25">
      <c r="A145" s="16">
        <v>3</v>
      </c>
      <c r="B145" s="28">
        <v>9795</v>
      </c>
      <c r="C145" s="45" t="s">
        <v>258</v>
      </c>
      <c r="D145" s="30" t="s">
        <v>259</v>
      </c>
      <c r="E145" s="31" t="s">
        <v>6</v>
      </c>
      <c r="F145" s="31" t="s">
        <v>11</v>
      </c>
      <c r="G145" s="31" t="s">
        <v>13</v>
      </c>
    </row>
    <row r="146" spans="1:7" ht="15.75" customHeight="1" x14ac:dyDescent="0.25">
      <c r="A146" s="16">
        <v>4</v>
      </c>
      <c r="B146" s="28">
        <v>9804</v>
      </c>
      <c r="C146" s="45" t="s">
        <v>260</v>
      </c>
      <c r="D146" s="30" t="s">
        <v>261</v>
      </c>
      <c r="E146" s="31" t="s">
        <v>6</v>
      </c>
      <c r="F146" s="31" t="s">
        <v>49</v>
      </c>
      <c r="G146" s="31" t="s">
        <v>13</v>
      </c>
    </row>
    <row r="147" spans="1:7" ht="15.75" customHeight="1" x14ac:dyDescent="0.25">
      <c r="A147" s="16">
        <v>5</v>
      </c>
      <c r="B147" s="28">
        <v>9806</v>
      </c>
      <c r="C147" s="45" t="s">
        <v>262</v>
      </c>
      <c r="D147" s="30" t="s">
        <v>21</v>
      </c>
      <c r="E147" s="31" t="s">
        <v>6</v>
      </c>
      <c r="F147" s="31" t="s">
        <v>11</v>
      </c>
      <c r="G147" s="31" t="s">
        <v>13</v>
      </c>
    </row>
    <row r="148" spans="1:7" ht="15.75" customHeight="1" x14ac:dyDescent="0.25">
      <c r="A148" s="16">
        <v>6</v>
      </c>
      <c r="B148" s="28">
        <v>9817</v>
      </c>
      <c r="C148" s="45" t="s">
        <v>263</v>
      </c>
      <c r="D148" s="32" t="s">
        <v>264</v>
      </c>
      <c r="E148" s="31" t="s">
        <v>6</v>
      </c>
      <c r="F148" s="31" t="s">
        <v>11</v>
      </c>
      <c r="G148" s="31" t="s">
        <v>13</v>
      </c>
    </row>
    <row r="149" spans="1:7" ht="15.75" customHeight="1" x14ac:dyDescent="0.25">
      <c r="A149" s="16">
        <v>7</v>
      </c>
      <c r="B149" s="28">
        <v>9818</v>
      </c>
      <c r="C149" s="45" t="s">
        <v>265</v>
      </c>
      <c r="D149" s="30" t="s">
        <v>266</v>
      </c>
      <c r="E149" s="31" t="s">
        <v>6</v>
      </c>
      <c r="F149" s="31" t="s">
        <v>11</v>
      </c>
      <c r="G149" s="31" t="s">
        <v>13</v>
      </c>
    </row>
    <row r="150" spans="1:7" ht="15.75" customHeight="1" x14ac:dyDescent="0.25">
      <c r="A150" s="16">
        <v>8</v>
      </c>
      <c r="B150" s="28">
        <v>9820</v>
      </c>
      <c r="C150" s="45" t="s">
        <v>267</v>
      </c>
      <c r="D150" s="30" t="s">
        <v>268</v>
      </c>
      <c r="E150" s="31" t="s">
        <v>5</v>
      </c>
      <c r="F150" s="31" t="s">
        <v>49</v>
      </c>
      <c r="G150" s="31" t="s">
        <v>13</v>
      </c>
    </row>
    <row r="151" spans="1:7" ht="15.75" customHeight="1" x14ac:dyDescent="0.25">
      <c r="A151" s="16">
        <v>9</v>
      </c>
      <c r="B151" s="28">
        <v>9822</v>
      </c>
      <c r="C151" s="45" t="s">
        <v>269</v>
      </c>
      <c r="D151" s="30" t="s">
        <v>270</v>
      </c>
      <c r="E151" s="31" t="s">
        <v>6</v>
      </c>
      <c r="F151" s="31" t="s">
        <v>11</v>
      </c>
      <c r="G151" s="31" t="s">
        <v>13</v>
      </c>
    </row>
    <row r="152" spans="1:7" ht="15.75" customHeight="1" x14ac:dyDescent="0.25">
      <c r="A152" s="16">
        <v>10</v>
      </c>
      <c r="B152" s="28">
        <v>9825</v>
      </c>
      <c r="C152" s="46" t="s">
        <v>271</v>
      </c>
      <c r="D152" s="17" t="s">
        <v>272</v>
      </c>
      <c r="E152" s="18" t="s">
        <v>6</v>
      </c>
      <c r="F152" s="31" t="s">
        <v>11</v>
      </c>
      <c r="G152" s="31" t="s">
        <v>13</v>
      </c>
    </row>
    <row r="153" spans="1:7" ht="15.75" customHeight="1" x14ac:dyDescent="0.25">
      <c r="A153" s="16">
        <v>11</v>
      </c>
      <c r="B153" s="28">
        <v>9831</v>
      </c>
      <c r="C153" s="45" t="s">
        <v>273</v>
      </c>
      <c r="D153" s="30" t="s">
        <v>274</v>
      </c>
      <c r="E153" s="31" t="s">
        <v>6</v>
      </c>
      <c r="F153" s="31" t="s">
        <v>49</v>
      </c>
      <c r="G153" s="31" t="s">
        <v>14</v>
      </c>
    </row>
    <row r="154" spans="1:7" ht="15.75" customHeight="1" x14ac:dyDescent="0.25">
      <c r="A154" s="16">
        <v>12</v>
      </c>
      <c r="B154" s="28">
        <v>9837</v>
      </c>
      <c r="C154" s="45" t="s">
        <v>275</v>
      </c>
      <c r="D154" s="30" t="s">
        <v>276</v>
      </c>
      <c r="E154" s="31" t="s">
        <v>6</v>
      </c>
      <c r="F154" s="31" t="s">
        <v>11</v>
      </c>
      <c r="G154" s="31" t="s">
        <v>13</v>
      </c>
    </row>
    <row r="155" spans="1:7" ht="15.75" customHeight="1" x14ac:dyDescent="0.25">
      <c r="A155" s="16">
        <v>13</v>
      </c>
      <c r="B155" s="28">
        <v>9839</v>
      </c>
      <c r="C155" s="45" t="s">
        <v>277</v>
      </c>
      <c r="D155" s="30" t="s">
        <v>278</v>
      </c>
      <c r="E155" s="31" t="s">
        <v>6</v>
      </c>
      <c r="F155" s="31" t="s">
        <v>11</v>
      </c>
      <c r="G155" s="31" t="s">
        <v>13</v>
      </c>
    </row>
    <row r="156" spans="1:7" ht="15.75" customHeight="1" x14ac:dyDescent="0.25">
      <c r="A156" s="16">
        <v>14</v>
      </c>
      <c r="B156" s="28">
        <v>9845</v>
      </c>
      <c r="C156" s="45" t="s">
        <v>279</v>
      </c>
      <c r="D156" s="30" t="s">
        <v>280</v>
      </c>
      <c r="E156" s="31" t="s">
        <v>6</v>
      </c>
      <c r="F156" s="31" t="s">
        <v>49</v>
      </c>
      <c r="G156" s="31" t="s">
        <v>13</v>
      </c>
    </row>
    <row r="157" spans="1:7" ht="15.75" customHeight="1" x14ac:dyDescent="0.25">
      <c r="A157" s="16">
        <v>15</v>
      </c>
      <c r="B157" s="28">
        <v>9855</v>
      </c>
      <c r="C157" s="45" t="s">
        <v>281</v>
      </c>
      <c r="D157" s="30" t="s">
        <v>282</v>
      </c>
      <c r="E157" s="31" t="s">
        <v>6</v>
      </c>
      <c r="F157" s="31" t="s">
        <v>11</v>
      </c>
      <c r="G157" s="31" t="s">
        <v>14</v>
      </c>
    </row>
    <row r="158" spans="1:7" ht="15.75" customHeight="1" x14ac:dyDescent="0.25">
      <c r="A158" s="16">
        <v>16</v>
      </c>
      <c r="B158" s="28">
        <v>9868</v>
      </c>
      <c r="C158" s="45" t="s">
        <v>283</v>
      </c>
      <c r="D158" s="30" t="s">
        <v>284</v>
      </c>
      <c r="E158" s="31" t="s">
        <v>6</v>
      </c>
      <c r="F158" s="31" t="s">
        <v>11</v>
      </c>
      <c r="G158" s="31" t="s">
        <v>13</v>
      </c>
    </row>
    <row r="159" spans="1:7" ht="15.75" customHeight="1" x14ac:dyDescent="0.25">
      <c r="A159" s="16">
        <v>17</v>
      </c>
      <c r="B159" s="28">
        <v>9869</v>
      </c>
      <c r="C159" s="45" t="s">
        <v>285</v>
      </c>
      <c r="D159" s="30" t="s">
        <v>286</v>
      </c>
      <c r="E159" s="31" t="s">
        <v>5</v>
      </c>
      <c r="F159" s="31" t="s">
        <v>12</v>
      </c>
      <c r="G159" s="31" t="s">
        <v>13</v>
      </c>
    </row>
    <row r="160" spans="1:7" ht="15.75" customHeight="1" x14ac:dyDescent="0.25">
      <c r="A160" s="16">
        <v>18</v>
      </c>
      <c r="B160" s="28">
        <v>9874</v>
      </c>
      <c r="C160" s="45" t="s">
        <v>287</v>
      </c>
      <c r="D160" s="30" t="s">
        <v>288</v>
      </c>
      <c r="E160" s="31" t="s">
        <v>5</v>
      </c>
      <c r="F160" s="31" t="s">
        <v>12</v>
      </c>
      <c r="G160" s="31" t="s">
        <v>13</v>
      </c>
    </row>
    <row r="161" spans="1:7" ht="15.75" customHeight="1" x14ac:dyDescent="0.25">
      <c r="A161" s="16">
        <v>19</v>
      </c>
      <c r="B161" s="28">
        <v>9882</v>
      </c>
      <c r="C161" s="45" t="s">
        <v>289</v>
      </c>
      <c r="D161" s="30" t="s">
        <v>290</v>
      </c>
      <c r="E161" s="31" t="s">
        <v>6</v>
      </c>
      <c r="F161" s="31" t="s">
        <v>11</v>
      </c>
      <c r="G161" s="31" t="s">
        <v>13</v>
      </c>
    </row>
    <row r="162" spans="1:7" ht="15.75" customHeight="1" x14ac:dyDescent="0.25">
      <c r="A162" s="16">
        <v>20</v>
      </c>
      <c r="B162" s="28">
        <v>9887</v>
      </c>
      <c r="C162" s="45" t="s">
        <v>291</v>
      </c>
      <c r="D162" s="30" t="s">
        <v>292</v>
      </c>
      <c r="E162" s="31" t="s">
        <v>5</v>
      </c>
      <c r="F162" s="31" t="s">
        <v>12</v>
      </c>
      <c r="G162" s="31" t="s">
        <v>13</v>
      </c>
    </row>
    <row r="163" spans="1:7" ht="15.75" customHeight="1" x14ac:dyDescent="0.25">
      <c r="A163" s="16">
        <v>21</v>
      </c>
      <c r="B163" s="28">
        <v>9889</v>
      </c>
      <c r="C163" s="45" t="s">
        <v>293</v>
      </c>
      <c r="D163" s="32" t="s">
        <v>294</v>
      </c>
      <c r="E163" s="31" t="s">
        <v>5</v>
      </c>
      <c r="F163" s="31" t="s">
        <v>12</v>
      </c>
      <c r="G163" s="31" t="s">
        <v>14</v>
      </c>
    </row>
    <row r="164" spans="1:7" ht="15.75" customHeight="1" x14ac:dyDescent="0.25">
      <c r="A164" s="16">
        <v>22</v>
      </c>
      <c r="B164" s="28">
        <v>9890</v>
      </c>
      <c r="C164" s="45" t="s">
        <v>295</v>
      </c>
      <c r="D164" s="30" t="s">
        <v>296</v>
      </c>
      <c r="E164" s="31" t="s">
        <v>6</v>
      </c>
      <c r="F164" s="31" t="s">
        <v>11</v>
      </c>
      <c r="G164" s="31" t="s">
        <v>13</v>
      </c>
    </row>
    <row r="165" spans="1:7" ht="15.75" customHeight="1" x14ac:dyDescent="0.25">
      <c r="A165" s="16">
        <v>23</v>
      </c>
      <c r="B165" s="28">
        <v>9893</v>
      </c>
      <c r="C165" s="45" t="s">
        <v>297</v>
      </c>
      <c r="D165" s="30" t="s">
        <v>298</v>
      </c>
      <c r="E165" s="31" t="s">
        <v>5</v>
      </c>
      <c r="F165" s="31" t="s">
        <v>49</v>
      </c>
      <c r="G165" s="31" t="s">
        <v>13</v>
      </c>
    </row>
    <row r="166" spans="1:7" ht="15.75" customHeight="1" x14ac:dyDescent="0.25">
      <c r="A166" s="16">
        <v>24</v>
      </c>
      <c r="B166" s="28">
        <v>9897</v>
      </c>
      <c r="C166" s="45" t="s">
        <v>299</v>
      </c>
      <c r="D166" s="30" t="s">
        <v>300</v>
      </c>
      <c r="E166" s="31" t="s">
        <v>6</v>
      </c>
      <c r="F166" s="31" t="s">
        <v>11</v>
      </c>
      <c r="G166" s="31" t="s">
        <v>13</v>
      </c>
    </row>
    <row r="167" spans="1:7" ht="15.75" customHeight="1" x14ac:dyDescent="0.25">
      <c r="A167" s="16">
        <v>25</v>
      </c>
      <c r="B167" s="28">
        <v>9900</v>
      </c>
      <c r="C167" s="45" t="s">
        <v>301</v>
      </c>
      <c r="D167" s="30" t="s">
        <v>302</v>
      </c>
      <c r="E167" s="31" t="s">
        <v>5</v>
      </c>
      <c r="F167" s="31" t="s">
        <v>49</v>
      </c>
      <c r="G167" s="31" t="s">
        <v>13</v>
      </c>
    </row>
    <row r="168" spans="1:7" ht="15.75" customHeight="1" x14ac:dyDescent="0.25">
      <c r="A168" s="16">
        <v>26</v>
      </c>
      <c r="B168" s="28">
        <v>9909</v>
      </c>
      <c r="C168" s="45" t="s">
        <v>303</v>
      </c>
      <c r="D168" s="30" t="s">
        <v>304</v>
      </c>
      <c r="E168" s="31" t="s">
        <v>6</v>
      </c>
      <c r="F168" s="31" t="s">
        <v>11</v>
      </c>
      <c r="G168" s="31" t="s">
        <v>13</v>
      </c>
    </row>
    <row r="169" spans="1:7" ht="15.75" customHeight="1" x14ac:dyDescent="0.25">
      <c r="A169" s="16">
        <v>27</v>
      </c>
      <c r="B169" s="28">
        <v>9911</v>
      </c>
      <c r="C169" s="45" t="s">
        <v>305</v>
      </c>
      <c r="D169" s="30" t="s">
        <v>306</v>
      </c>
      <c r="E169" s="31" t="s">
        <v>6</v>
      </c>
      <c r="F169" s="31" t="s">
        <v>11</v>
      </c>
      <c r="G169" s="31" t="s">
        <v>13</v>
      </c>
    </row>
    <row r="170" spans="1:7" ht="15.75" customHeight="1" x14ac:dyDescent="0.25">
      <c r="A170" s="16">
        <v>28</v>
      </c>
      <c r="B170" s="28">
        <v>9917</v>
      </c>
      <c r="C170" s="45" t="s">
        <v>307</v>
      </c>
      <c r="D170" s="30" t="s">
        <v>308</v>
      </c>
      <c r="E170" s="31" t="s">
        <v>6</v>
      </c>
      <c r="F170" s="31" t="s">
        <v>11</v>
      </c>
      <c r="G170" s="31" t="s">
        <v>13</v>
      </c>
    </row>
    <row r="171" spans="1:7" ht="15.75" customHeight="1" x14ac:dyDescent="0.25">
      <c r="A171" s="16">
        <v>29</v>
      </c>
      <c r="B171" s="28">
        <v>9918</v>
      </c>
      <c r="C171" s="47" t="s">
        <v>309</v>
      </c>
      <c r="D171" s="30" t="s">
        <v>310</v>
      </c>
      <c r="E171" s="31" t="s">
        <v>6</v>
      </c>
      <c r="F171" s="31" t="s">
        <v>11</v>
      </c>
      <c r="G171" s="31" t="s">
        <v>13</v>
      </c>
    </row>
    <row r="172" spans="1:7" ht="15.75" customHeight="1" x14ac:dyDescent="0.25">
      <c r="A172" s="16">
        <v>30</v>
      </c>
      <c r="B172" s="28">
        <v>9920</v>
      </c>
      <c r="C172" s="45" t="s">
        <v>311</v>
      </c>
      <c r="D172" s="30" t="s">
        <v>312</v>
      </c>
      <c r="E172" s="31" t="s">
        <v>5</v>
      </c>
      <c r="F172" s="31" t="s">
        <v>12</v>
      </c>
      <c r="G172" s="31" t="s">
        <v>13</v>
      </c>
    </row>
    <row r="173" spans="1:7" ht="15.75" customHeight="1" x14ac:dyDescent="0.25">
      <c r="A173" s="16">
        <v>31</v>
      </c>
      <c r="B173" s="28">
        <v>9938</v>
      </c>
      <c r="C173" s="45" t="s">
        <v>313</v>
      </c>
      <c r="D173" s="30" t="s">
        <v>36</v>
      </c>
      <c r="E173" s="31" t="s">
        <v>6</v>
      </c>
      <c r="F173" s="31" t="s">
        <v>11</v>
      </c>
      <c r="G173" s="31" t="s">
        <v>13</v>
      </c>
    </row>
    <row r="174" spans="1:7" ht="15.75" customHeight="1" x14ac:dyDescent="0.25">
      <c r="A174" s="16">
        <v>32</v>
      </c>
      <c r="B174" s="28">
        <v>9979</v>
      </c>
      <c r="C174" s="45" t="s">
        <v>314</v>
      </c>
      <c r="D174" s="30" t="s">
        <v>315</v>
      </c>
      <c r="E174" s="31" t="s">
        <v>6</v>
      </c>
      <c r="F174" s="31" t="s">
        <v>11</v>
      </c>
      <c r="G174" s="31" t="s">
        <v>13</v>
      </c>
    </row>
    <row r="175" spans="1:7" ht="15.75" customHeight="1" x14ac:dyDescent="0.25">
      <c r="A175" s="16">
        <v>33</v>
      </c>
      <c r="B175" s="28">
        <v>9992</v>
      </c>
      <c r="C175" s="47" t="s">
        <v>316</v>
      </c>
      <c r="D175" s="30" t="s">
        <v>317</v>
      </c>
      <c r="E175" s="31" t="s">
        <v>6</v>
      </c>
      <c r="F175" s="31" t="s">
        <v>11</v>
      </c>
      <c r="G175" s="31" t="s">
        <v>13</v>
      </c>
    </row>
    <row r="176" spans="1:7" ht="15.75" customHeight="1" x14ac:dyDescent="0.25">
      <c r="A176" s="16">
        <v>34</v>
      </c>
      <c r="B176" s="28">
        <v>9994</v>
      </c>
      <c r="C176" s="45" t="s">
        <v>318</v>
      </c>
      <c r="D176" s="30" t="s">
        <v>319</v>
      </c>
      <c r="E176" s="31" t="s">
        <v>6</v>
      </c>
      <c r="F176" s="31" t="s">
        <v>11</v>
      </c>
      <c r="G176" s="31" t="s">
        <v>13</v>
      </c>
    </row>
    <row r="177" spans="1:8" ht="15.75" customHeight="1" x14ac:dyDescent="0.25">
      <c r="A177" s="16">
        <v>35</v>
      </c>
      <c r="B177" s="28">
        <v>10002</v>
      </c>
      <c r="C177" s="45" t="s">
        <v>320</v>
      </c>
      <c r="D177" s="32" t="s">
        <v>321</v>
      </c>
      <c r="E177" s="31" t="s">
        <v>6</v>
      </c>
      <c r="F177" s="31" t="s">
        <v>11</v>
      </c>
      <c r="G177" s="31" t="s">
        <v>14</v>
      </c>
    </row>
    <row r="178" spans="1:8" ht="15.75" customHeight="1" x14ac:dyDescent="0.25">
      <c r="A178" s="16">
        <v>36</v>
      </c>
      <c r="B178" s="33">
        <v>10007</v>
      </c>
      <c r="C178" s="47" t="s">
        <v>322</v>
      </c>
      <c r="D178" s="35" t="s">
        <v>323</v>
      </c>
      <c r="E178" s="36" t="s">
        <v>6</v>
      </c>
      <c r="F178" s="36" t="s">
        <v>12</v>
      </c>
      <c r="G178" s="31" t="s">
        <v>13</v>
      </c>
    </row>
    <row r="179" spans="1:8" ht="15.75" customHeight="1" x14ac:dyDescent="0.2">
      <c r="A179" s="3" t="s">
        <v>5</v>
      </c>
      <c r="B179" s="3">
        <f>COUNTIF(E143:E178,A179)</f>
        <v>8</v>
      </c>
      <c r="C179" s="48" t="s">
        <v>8</v>
      </c>
      <c r="D179" s="6" t="s">
        <v>11</v>
      </c>
      <c r="E179" s="3">
        <f>COUNTIF(F143:F178,D179)</f>
        <v>23</v>
      </c>
      <c r="F179" s="3"/>
      <c r="G179" s="7"/>
      <c r="H179" s="9"/>
    </row>
    <row r="180" spans="1:8" ht="15.75" customHeight="1" x14ac:dyDescent="0.2">
      <c r="A180" s="3" t="s">
        <v>6</v>
      </c>
      <c r="B180" s="5">
        <f>COUNTIF(E143:E178,A180)</f>
        <v>28</v>
      </c>
      <c r="C180" s="48" t="s">
        <v>8</v>
      </c>
      <c r="D180" s="6" t="s">
        <v>49</v>
      </c>
      <c r="E180" s="3">
        <f>COUNTIF(F143:F178,D180)</f>
        <v>6</v>
      </c>
      <c r="F180" s="3"/>
      <c r="G180" s="7"/>
      <c r="H180" s="9"/>
    </row>
    <row r="181" spans="1:8" ht="15.75" customHeight="1" x14ac:dyDescent="0.2">
      <c r="A181" s="3" t="s">
        <v>7</v>
      </c>
      <c r="B181" s="3">
        <f>B179+B180</f>
        <v>36</v>
      </c>
      <c r="C181" s="48" t="s">
        <v>8</v>
      </c>
      <c r="D181" s="6" t="s">
        <v>12</v>
      </c>
      <c r="E181" s="3">
        <f>COUNTIF(F143:F178,D181)</f>
        <v>7</v>
      </c>
      <c r="F181" s="3"/>
      <c r="G181" s="7"/>
      <c r="H181" s="9"/>
    </row>
    <row r="182" spans="1:8" ht="15.75" customHeight="1" x14ac:dyDescent="0.2">
      <c r="D182" s="40" t="s">
        <v>13</v>
      </c>
      <c r="E182" s="41">
        <f>COUNTIF(G143:G178,D182)</f>
        <v>31</v>
      </c>
      <c r="F182" s="3"/>
      <c r="G182" s="7"/>
      <c r="H182" s="9"/>
    </row>
    <row r="183" spans="1:8" ht="15.75" customHeight="1" x14ac:dyDescent="0.2">
      <c r="D183" s="40" t="s">
        <v>14</v>
      </c>
      <c r="E183" s="41">
        <f>COUNTIF(G143:G178,D183)</f>
        <v>5</v>
      </c>
      <c r="F183" s="3"/>
      <c r="G183" s="7"/>
      <c r="H183" s="9"/>
    </row>
    <row r="184" spans="1:8" ht="15.75" customHeight="1" x14ac:dyDescent="0.2">
      <c r="A184" s="10" t="s">
        <v>1078</v>
      </c>
      <c r="B184" s="10"/>
      <c r="C184" s="43"/>
      <c r="D184" s="19"/>
      <c r="E184" s="8"/>
      <c r="F184" s="8"/>
      <c r="G184" s="7"/>
    </row>
    <row r="185" spans="1:8" ht="15.75" customHeight="1" x14ac:dyDescent="0.2">
      <c r="A185" s="88" t="s">
        <v>0</v>
      </c>
      <c r="B185" s="89"/>
      <c r="C185" s="89"/>
      <c r="D185" s="90" t="s">
        <v>1</v>
      </c>
      <c r="E185" s="92" t="s">
        <v>9</v>
      </c>
      <c r="F185" s="86" t="s">
        <v>10</v>
      </c>
      <c r="G185" s="96" t="s">
        <v>48</v>
      </c>
    </row>
    <row r="186" spans="1:8" ht="15.75" customHeight="1" x14ac:dyDescent="0.2">
      <c r="A186" s="20" t="s">
        <v>2</v>
      </c>
      <c r="B186" s="20" t="s">
        <v>3</v>
      </c>
      <c r="C186" s="44" t="s">
        <v>4</v>
      </c>
      <c r="D186" s="91"/>
      <c r="E186" s="93"/>
      <c r="F186" s="87"/>
      <c r="G186" s="97"/>
    </row>
    <row r="187" spans="1:8" ht="15.75" customHeight="1" x14ac:dyDescent="0.25">
      <c r="A187" s="16">
        <v>1</v>
      </c>
      <c r="B187" s="28">
        <v>9766</v>
      </c>
      <c r="C187" s="46" t="s">
        <v>324</v>
      </c>
      <c r="D187" s="27" t="s">
        <v>325</v>
      </c>
      <c r="E187" s="18" t="s">
        <v>5</v>
      </c>
      <c r="F187" s="31" t="s">
        <v>11</v>
      </c>
      <c r="G187" s="31" t="s">
        <v>13</v>
      </c>
    </row>
    <row r="188" spans="1:8" ht="15.75" customHeight="1" x14ac:dyDescent="0.25">
      <c r="A188" s="16">
        <v>2</v>
      </c>
      <c r="B188" s="28">
        <v>9769</v>
      </c>
      <c r="C188" s="45" t="s">
        <v>326</v>
      </c>
      <c r="D188" s="30" t="s">
        <v>327</v>
      </c>
      <c r="E188" s="31" t="s">
        <v>6</v>
      </c>
      <c r="F188" s="31" t="s">
        <v>11</v>
      </c>
      <c r="G188" s="31" t="s">
        <v>13</v>
      </c>
    </row>
    <row r="189" spans="1:8" ht="15.75" customHeight="1" x14ac:dyDescent="0.25">
      <c r="A189" s="16">
        <v>3</v>
      </c>
      <c r="B189" s="28">
        <v>9774</v>
      </c>
      <c r="C189" s="45" t="s">
        <v>328</v>
      </c>
      <c r="D189" s="30" t="s">
        <v>329</v>
      </c>
      <c r="E189" s="31" t="s">
        <v>6</v>
      </c>
      <c r="F189" s="31" t="s">
        <v>11</v>
      </c>
      <c r="G189" s="31" t="s">
        <v>14</v>
      </c>
    </row>
    <row r="190" spans="1:8" ht="15.75" customHeight="1" x14ac:dyDescent="0.25">
      <c r="A190" s="16">
        <v>4</v>
      </c>
      <c r="B190" s="28">
        <v>9775</v>
      </c>
      <c r="C190" s="45" t="s">
        <v>330</v>
      </c>
      <c r="D190" s="30" t="s">
        <v>331</v>
      </c>
      <c r="E190" s="31" t="s">
        <v>5</v>
      </c>
      <c r="F190" s="31" t="s">
        <v>11</v>
      </c>
      <c r="G190" s="31" t="s">
        <v>13</v>
      </c>
    </row>
    <row r="191" spans="1:8" ht="15.75" customHeight="1" x14ac:dyDescent="0.25">
      <c r="A191" s="16">
        <v>5</v>
      </c>
      <c r="B191" s="28">
        <v>9779</v>
      </c>
      <c r="C191" s="45" t="s">
        <v>332</v>
      </c>
      <c r="D191" s="30" t="s">
        <v>333</v>
      </c>
      <c r="E191" s="31" t="s">
        <v>5</v>
      </c>
      <c r="F191" s="31" t="s">
        <v>11</v>
      </c>
      <c r="G191" s="31" t="s">
        <v>13</v>
      </c>
    </row>
    <row r="192" spans="1:8" ht="15.75" customHeight="1" x14ac:dyDescent="0.25">
      <c r="A192" s="16">
        <v>6</v>
      </c>
      <c r="B192" s="28">
        <v>9781</v>
      </c>
      <c r="C192" s="45" t="s">
        <v>334</v>
      </c>
      <c r="D192" s="32" t="s">
        <v>19</v>
      </c>
      <c r="E192" s="31" t="s">
        <v>6</v>
      </c>
      <c r="F192" s="31" t="s">
        <v>11</v>
      </c>
      <c r="G192" s="31" t="s">
        <v>13</v>
      </c>
    </row>
    <row r="193" spans="1:7" ht="15.75" customHeight="1" x14ac:dyDescent="0.25">
      <c r="A193" s="16">
        <v>7</v>
      </c>
      <c r="B193" s="28">
        <v>9782</v>
      </c>
      <c r="C193" s="45" t="s">
        <v>335</v>
      </c>
      <c r="D193" s="32" t="s">
        <v>336</v>
      </c>
      <c r="E193" s="31" t="s">
        <v>6</v>
      </c>
      <c r="F193" s="31" t="s">
        <v>11</v>
      </c>
      <c r="G193" s="31" t="s">
        <v>14</v>
      </c>
    </row>
    <row r="194" spans="1:7" ht="15.75" customHeight="1" x14ac:dyDescent="0.25">
      <c r="A194" s="16">
        <v>8</v>
      </c>
      <c r="B194" s="28">
        <v>9784</v>
      </c>
      <c r="C194" s="45" t="s">
        <v>337</v>
      </c>
      <c r="D194" s="30" t="s">
        <v>338</v>
      </c>
      <c r="E194" s="31" t="s">
        <v>5</v>
      </c>
      <c r="F194" s="31" t="s">
        <v>11</v>
      </c>
      <c r="G194" s="31" t="s">
        <v>14</v>
      </c>
    </row>
    <row r="195" spans="1:7" ht="15.75" customHeight="1" x14ac:dyDescent="0.25">
      <c r="A195" s="16">
        <v>9</v>
      </c>
      <c r="B195" s="28">
        <v>9785</v>
      </c>
      <c r="C195" s="45" t="s">
        <v>339</v>
      </c>
      <c r="D195" s="30" t="s">
        <v>340</v>
      </c>
      <c r="E195" s="31" t="s">
        <v>5</v>
      </c>
      <c r="F195" s="31" t="s">
        <v>11</v>
      </c>
      <c r="G195" s="31" t="s">
        <v>14</v>
      </c>
    </row>
    <row r="196" spans="1:7" ht="15.75" customHeight="1" x14ac:dyDescent="0.25">
      <c r="A196" s="16">
        <v>10</v>
      </c>
      <c r="B196" s="28">
        <v>9790</v>
      </c>
      <c r="C196" s="45" t="s">
        <v>341</v>
      </c>
      <c r="D196" s="30" t="s">
        <v>342</v>
      </c>
      <c r="E196" s="31" t="s">
        <v>6</v>
      </c>
      <c r="F196" s="31" t="s">
        <v>11</v>
      </c>
      <c r="G196" s="31" t="s">
        <v>14</v>
      </c>
    </row>
    <row r="197" spans="1:7" ht="15.75" customHeight="1" x14ac:dyDescent="0.25">
      <c r="A197" s="16">
        <v>11</v>
      </c>
      <c r="B197" s="28">
        <v>9797</v>
      </c>
      <c r="C197" s="45" t="s">
        <v>343</v>
      </c>
      <c r="D197" s="30" t="s">
        <v>344</v>
      </c>
      <c r="E197" s="31" t="s">
        <v>5</v>
      </c>
      <c r="F197" s="31" t="s">
        <v>11</v>
      </c>
      <c r="G197" s="31" t="s">
        <v>13</v>
      </c>
    </row>
    <row r="198" spans="1:7" ht="15.75" customHeight="1" x14ac:dyDescent="0.25">
      <c r="A198" s="16">
        <v>12</v>
      </c>
      <c r="B198" s="28">
        <v>9798</v>
      </c>
      <c r="C198" s="45" t="s">
        <v>345</v>
      </c>
      <c r="D198" s="30" t="s">
        <v>346</v>
      </c>
      <c r="E198" s="31" t="s">
        <v>6</v>
      </c>
      <c r="F198" s="31" t="s">
        <v>11</v>
      </c>
      <c r="G198" s="31" t="s">
        <v>13</v>
      </c>
    </row>
    <row r="199" spans="1:7" ht="15.75" customHeight="1" x14ac:dyDescent="0.25">
      <c r="A199" s="16">
        <v>13</v>
      </c>
      <c r="B199" s="28">
        <v>9803</v>
      </c>
      <c r="C199" s="45" t="s">
        <v>347</v>
      </c>
      <c r="D199" s="32" t="s">
        <v>348</v>
      </c>
      <c r="E199" s="31" t="s">
        <v>6</v>
      </c>
      <c r="F199" s="31" t="s">
        <v>11</v>
      </c>
      <c r="G199" s="31" t="s">
        <v>14</v>
      </c>
    </row>
    <row r="200" spans="1:7" ht="15.75" customHeight="1" x14ac:dyDescent="0.25">
      <c r="A200" s="16">
        <v>14</v>
      </c>
      <c r="B200" s="28">
        <v>9812</v>
      </c>
      <c r="C200" s="45" t="s">
        <v>349</v>
      </c>
      <c r="D200" s="30" t="s">
        <v>350</v>
      </c>
      <c r="E200" s="31" t="s">
        <v>6</v>
      </c>
      <c r="F200" s="31" t="s">
        <v>11</v>
      </c>
      <c r="G200" s="31" t="s">
        <v>14</v>
      </c>
    </row>
    <row r="201" spans="1:7" ht="15.75" customHeight="1" x14ac:dyDescent="0.25">
      <c r="A201" s="16">
        <v>15</v>
      </c>
      <c r="B201" s="28">
        <v>9836</v>
      </c>
      <c r="C201" s="45" t="s">
        <v>351</v>
      </c>
      <c r="D201" s="30" t="s">
        <v>25</v>
      </c>
      <c r="E201" s="31" t="s">
        <v>6</v>
      </c>
      <c r="F201" s="31" t="s">
        <v>11</v>
      </c>
      <c r="G201" s="31" t="s">
        <v>13</v>
      </c>
    </row>
    <row r="202" spans="1:7" ht="15.75" customHeight="1" x14ac:dyDescent="0.25">
      <c r="A202" s="16">
        <v>16</v>
      </c>
      <c r="B202" s="28">
        <v>9838</v>
      </c>
      <c r="C202" s="45" t="s">
        <v>352</v>
      </c>
      <c r="D202" s="30" t="s">
        <v>353</v>
      </c>
      <c r="E202" s="31" t="s">
        <v>6</v>
      </c>
      <c r="F202" s="31" t="s">
        <v>11</v>
      </c>
      <c r="G202" s="31" t="s">
        <v>13</v>
      </c>
    </row>
    <row r="203" spans="1:7" ht="15.75" customHeight="1" x14ac:dyDescent="0.25">
      <c r="A203" s="16">
        <v>17</v>
      </c>
      <c r="B203" s="28">
        <v>9844</v>
      </c>
      <c r="C203" s="45" t="s">
        <v>354</v>
      </c>
      <c r="D203" s="30" t="s">
        <v>355</v>
      </c>
      <c r="E203" s="31" t="s">
        <v>6</v>
      </c>
      <c r="F203" s="31" t="s">
        <v>11</v>
      </c>
      <c r="G203" s="31" t="s">
        <v>13</v>
      </c>
    </row>
    <row r="204" spans="1:7" ht="15.75" customHeight="1" x14ac:dyDescent="0.25">
      <c r="A204" s="16">
        <v>18</v>
      </c>
      <c r="B204" s="28">
        <v>9846</v>
      </c>
      <c r="C204" s="45" t="s">
        <v>356</v>
      </c>
      <c r="D204" s="30" t="s">
        <v>357</v>
      </c>
      <c r="E204" s="31" t="s">
        <v>6</v>
      </c>
      <c r="F204" s="31" t="s">
        <v>11</v>
      </c>
      <c r="G204" s="31" t="s">
        <v>14</v>
      </c>
    </row>
    <row r="205" spans="1:7" ht="15.75" customHeight="1" x14ac:dyDescent="0.25">
      <c r="A205" s="16">
        <v>19</v>
      </c>
      <c r="B205" s="28">
        <v>9847</v>
      </c>
      <c r="C205" s="45" t="s">
        <v>358</v>
      </c>
      <c r="D205" s="30" t="s">
        <v>359</v>
      </c>
      <c r="E205" s="31" t="s">
        <v>6</v>
      </c>
      <c r="F205" s="31" t="s">
        <v>49</v>
      </c>
      <c r="G205" s="31" t="s">
        <v>13</v>
      </c>
    </row>
    <row r="206" spans="1:7" ht="15.75" customHeight="1" x14ac:dyDescent="0.25">
      <c r="A206" s="16">
        <v>20</v>
      </c>
      <c r="B206" s="28">
        <v>9852</v>
      </c>
      <c r="C206" s="45" t="s">
        <v>360</v>
      </c>
      <c r="D206" s="30" t="s">
        <v>361</v>
      </c>
      <c r="E206" s="31" t="s">
        <v>6</v>
      </c>
      <c r="F206" s="31" t="s">
        <v>11</v>
      </c>
      <c r="G206" s="31" t="s">
        <v>14</v>
      </c>
    </row>
    <row r="207" spans="1:7" ht="15.75" customHeight="1" x14ac:dyDescent="0.25">
      <c r="A207" s="16">
        <v>21</v>
      </c>
      <c r="B207" s="28">
        <v>9864</v>
      </c>
      <c r="C207" s="45" t="s">
        <v>362</v>
      </c>
      <c r="D207" s="30" t="s">
        <v>363</v>
      </c>
      <c r="E207" s="31" t="s">
        <v>5</v>
      </c>
      <c r="F207" s="31" t="s">
        <v>11</v>
      </c>
      <c r="G207" s="31" t="s">
        <v>14</v>
      </c>
    </row>
    <row r="208" spans="1:7" ht="15.75" customHeight="1" x14ac:dyDescent="0.25">
      <c r="A208" s="16">
        <v>22</v>
      </c>
      <c r="B208" s="28">
        <v>9894</v>
      </c>
      <c r="C208" s="45" t="s">
        <v>364</v>
      </c>
      <c r="D208" s="30" t="s">
        <v>365</v>
      </c>
      <c r="E208" s="31" t="s">
        <v>5</v>
      </c>
      <c r="F208" s="31" t="s">
        <v>11</v>
      </c>
      <c r="G208" s="31" t="s">
        <v>14</v>
      </c>
    </row>
    <row r="209" spans="1:8" ht="15.75" customHeight="1" x14ac:dyDescent="0.25">
      <c r="A209" s="16">
        <v>23</v>
      </c>
      <c r="B209" s="28">
        <v>9895</v>
      </c>
      <c r="C209" s="45" t="s">
        <v>366</v>
      </c>
      <c r="D209" s="32" t="s">
        <v>367</v>
      </c>
      <c r="E209" s="31" t="s">
        <v>6</v>
      </c>
      <c r="F209" s="31" t="s">
        <v>11</v>
      </c>
      <c r="G209" s="31" t="s">
        <v>14</v>
      </c>
    </row>
    <row r="210" spans="1:8" ht="15.75" customHeight="1" x14ac:dyDescent="0.25">
      <c r="A210" s="16">
        <v>24</v>
      </c>
      <c r="B210" s="28">
        <v>9898</v>
      </c>
      <c r="C210" s="45" t="s">
        <v>368</v>
      </c>
      <c r="D210" s="30" t="s">
        <v>369</v>
      </c>
      <c r="E210" s="31" t="s">
        <v>6</v>
      </c>
      <c r="F210" s="31" t="s">
        <v>11</v>
      </c>
      <c r="G210" s="31" t="s">
        <v>13</v>
      </c>
    </row>
    <row r="211" spans="1:8" ht="15.75" customHeight="1" x14ac:dyDescent="0.25">
      <c r="A211" s="16">
        <v>25</v>
      </c>
      <c r="B211" s="28">
        <v>9904</v>
      </c>
      <c r="C211" s="45" t="s">
        <v>370</v>
      </c>
      <c r="D211" s="32" t="s">
        <v>371</v>
      </c>
      <c r="E211" s="31" t="s">
        <v>6</v>
      </c>
      <c r="F211" s="31" t="s">
        <v>11</v>
      </c>
      <c r="G211" s="31" t="s">
        <v>14</v>
      </c>
    </row>
    <row r="212" spans="1:8" ht="15.75" customHeight="1" x14ac:dyDescent="0.25">
      <c r="A212" s="16">
        <v>26</v>
      </c>
      <c r="B212" s="28">
        <v>9910</v>
      </c>
      <c r="C212" s="45" t="s">
        <v>372</v>
      </c>
      <c r="D212" s="30" t="s">
        <v>373</v>
      </c>
      <c r="E212" s="31" t="s">
        <v>6</v>
      </c>
      <c r="F212" s="31" t="s">
        <v>49</v>
      </c>
      <c r="G212" s="31" t="s">
        <v>13</v>
      </c>
    </row>
    <row r="213" spans="1:8" ht="15.75" customHeight="1" x14ac:dyDescent="0.25">
      <c r="A213" s="16">
        <v>27</v>
      </c>
      <c r="B213" s="28">
        <v>9925</v>
      </c>
      <c r="C213" s="45" t="s">
        <v>374</v>
      </c>
      <c r="D213" s="30" t="s">
        <v>375</v>
      </c>
      <c r="E213" s="31" t="s">
        <v>5</v>
      </c>
      <c r="F213" s="31" t="s">
        <v>11</v>
      </c>
      <c r="G213" s="31" t="s">
        <v>14</v>
      </c>
    </row>
    <row r="214" spans="1:8" ht="15.75" customHeight="1" x14ac:dyDescent="0.25">
      <c r="A214" s="16">
        <v>28</v>
      </c>
      <c r="B214" s="28">
        <v>9930</v>
      </c>
      <c r="C214" s="45" t="s">
        <v>376</v>
      </c>
      <c r="D214" s="30" t="s">
        <v>377</v>
      </c>
      <c r="E214" s="31" t="s">
        <v>6</v>
      </c>
      <c r="F214" s="31" t="s">
        <v>11</v>
      </c>
      <c r="G214" s="31" t="s">
        <v>14</v>
      </c>
    </row>
    <row r="215" spans="1:8" ht="15.75" customHeight="1" x14ac:dyDescent="0.25">
      <c r="A215" s="16">
        <v>29</v>
      </c>
      <c r="B215" s="28">
        <v>9939</v>
      </c>
      <c r="C215" s="47" t="s">
        <v>378</v>
      </c>
      <c r="D215" s="30" t="s">
        <v>379</v>
      </c>
      <c r="E215" s="31" t="s">
        <v>6</v>
      </c>
      <c r="F215" s="31" t="s">
        <v>11</v>
      </c>
      <c r="G215" s="31" t="s">
        <v>14</v>
      </c>
    </row>
    <row r="216" spans="1:8" ht="15.75" customHeight="1" x14ac:dyDescent="0.25">
      <c r="A216" s="16">
        <v>30</v>
      </c>
      <c r="B216" s="28">
        <v>9951</v>
      </c>
      <c r="C216" s="45" t="s">
        <v>380</v>
      </c>
      <c r="D216" s="30" t="s">
        <v>381</v>
      </c>
      <c r="E216" s="31" t="s">
        <v>5</v>
      </c>
      <c r="F216" s="31" t="s">
        <v>49</v>
      </c>
      <c r="G216" s="31" t="s">
        <v>14</v>
      </c>
    </row>
    <row r="217" spans="1:8" ht="15.75" customHeight="1" x14ac:dyDescent="0.25">
      <c r="A217" s="16">
        <v>31</v>
      </c>
      <c r="B217" s="28">
        <v>9956</v>
      </c>
      <c r="C217" s="45" t="s">
        <v>382</v>
      </c>
      <c r="D217" s="30" t="s">
        <v>383</v>
      </c>
      <c r="E217" s="31" t="s">
        <v>6</v>
      </c>
      <c r="F217" s="31" t="s">
        <v>11</v>
      </c>
      <c r="G217" s="31" t="s">
        <v>13</v>
      </c>
    </row>
    <row r="218" spans="1:8" ht="15.75" customHeight="1" x14ac:dyDescent="0.25">
      <c r="A218" s="16">
        <v>32</v>
      </c>
      <c r="B218" s="28">
        <v>9978</v>
      </c>
      <c r="C218" s="45" t="s">
        <v>384</v>
      </c>
      <c r="D218" s="30" t="s">
        <v>385</v>
      </c>
      <c r="E218" s="31" t="s">
        <v>6</v>
      </c>
      <c r="F218" s="31" t="s">
        <v>11</v>
      </c>
      <c r="G218" s="31" t="s">
        <v>14</v>
      </c>
    </row>
    <row r="219" spans="1:8" ht="15.75" customHeight="1" x14ac:dyDescent="0.25">
      <c r="A219" s="16">
        <v>33</v>
      </c>
      <c r="B219" s="28">
        <v>9980</v>
      </c>
      <c r="C219" s="45" t="s">
        <v>386</v>
      </c>
      <c r="D219" s="30" t="s">
        <v>387</v>
      </c>
      <c r="E219" s="31" t="s">
        <v>6</v>
      </c>
      <c r="F219" s="31" t="s">
        <v>11</v>
      </c>
      <c r="G219" s="31" t="s">
        <v>14</v>
      </c>
    </row>
    <row r="220" spans="1:8" ht="15.75" customHeight="1" x14ac:dyDescent="0.25">
      <c r="A220" s="16">
        <v>34</v>
      </c>
      <c r="B220" s="28">
        <v>9984</v>
      </c>
      <c r="C220" s="45" t="s">
        <v>388</v>
      </c>
      <c r="D220" s="30" t="s">
        <v>389</v>
      </c>
      <c r="E220" s="31" t="s">
        <v>6</v>
      </c>
      <c r="F220" s="31" t="s">
        <v>11</v>
      </c>
      <c r="G220" s="31" t="s">
        <v>13</v>
      </c>
    </row>
    <row r="221" spans="1:8" ht="15.75" customHeight="1" x14ac:dyDescent="0.25">
      <c r="A221" s="16">
        <v>35</v>
      </c>
      <c r="B221" s="28">
        <v>10004</v>
      </c>
      <c r="C221" s="45" t="s">
        <v>390</v>
      </c>
      <c r="D221" s="30" t="s">
        <v>391</v>
      </c>
      <c r="E221" s="31" t="s">
        <v>6</v>
      </c>
      <c r="F221" s="31" t="s">
        <v>11</v>
      </c>
      <c r="G221" s="31" t="s">
        <v>14</v>
      </c>
    </row>
    <row r="222" spans="1:8" ht="15.75" customHeight="1" x14ac:dyDescent="0.25">
      <c r="A222" s="16">
        <v>36</v>
      </c>
      <c r="B222" s="33">
        <v>10014</v>
      </c>
      <c r="C222" s="47" t="s">
        <v>392</v>
      </c>
      <c r="D222" s="39" t="s">
        <v>393</v>
      </c>
      <c r="E222" s="36" t="s">
        <v>6</v>
      </c>
      <c r="F222" s="36" t="s">
        <v>11</v>
      </c>
      <c r="G222" s="31" t="s">
        <v>14</v>
      </c>
    </row>
    <row r="223" spans="1:8" ht="15.75" customHeight="1" x14ac:dyDescent="0.2">
      <c r="A223" s="3" t="s">
        <v>5</v>
      </c>
      <c r="B223" s="3">
        <f>COUNTIF(E187:E222,A223)</f>
        <v>10</v>
      </c>
      <c r="C223" s="48" t="s">
        <v>8</v>
      </c>
      <c r="D223" s="6" t="s">
        <v>11</v>
      </c>
      <c r="E223" s="3">
        <f>COUNTIF(F187:F222,D223)</f>
        <v>33</v>
      </c>
      <c r="F223" s="3"/>
      <c r="G223" s="7"/>
      <c r="H223" s="9"/>
    </row>
    <row r="224" spans="1:8" ht="15.75" customHeight="1" x14ac:dyDescent="0.2">
      <c r="A224" s="3" t="s">
        <v>6</v>
      </c>
      <c r="B224" s="5">
        <f>COUNTIF(E187:E222,A224)</f>
        <v>26</v>
      </c>
      <c r="C224" s="48" t="s">
        <v>8</v>
      </c>
      <c r="D224" s="6" t="s">
        <v>49</v>
      </c>
      <c r="E224" s="3">
        <f>COUNTIF(F187:F222,D224)</f>
        <v>3</v>
      </c>
      <c r="F224" s="3"/>
      <c r="G224" s="7"/>
      <c r="H224" s="9"/>
    </row>
    <row r="225" spans="1:8" ht="15.75" customHeight="1" x14ac:dyDescent="0.2">
      <c r="A225" s="3" t="s">
        <v>7</v>
      </c>
      <c r="B225" s="3">
        <f>B223+B224</f>
        <v>36</v>
      </c>
      <c r="C225" s="48" t="s">
        <v>8</v>
      </c>
      <c r="D225" s="6" t="s">
        <v>12</v>
      </c>
      <c r="E225" s="3">
        <f>COUNTIF(F187:F222,D225)</f>
        <v>0</v>
      </c>
      <c r="F225" s="3"/>
      <c r="G225" s="7"/>
      <c r="H225" s="9"/>
    </row>
    <row r="226" spans="1:8" ht="15.75" customHeight="1" x14ac:dyDescent="0.2">
      <c r="D226" s="40" t="s">
        <v>13</v>
      </c>
      <c r="E226" s="41">
        <f>COUNTIF(G187:G222,D226)</f>
        <v>15</v>
      </c>
      <c r="F226" s="3"/>
      <c r="G226" s="7"/>
      <c r="H226" s="9"/>
    </row>
    <row r="227" spans="1:8" ht="15.75" customHeight="1" x14ac:dyDescent="0.2">
      <c r="D227" s="40" t="s">
        <v>14</v>
      </c>
      <c r="E227" s="41">
        <f>COUNTIF(G187:G222,D227)</f>
        <v>21</v>
      </c>
      <c r="F227" s="3"/>
      <c r="G227" s="7"/>
      <c r="H227" s="9"/>
    </row>
    <row r="228" spans="1:8" ht="15.75" customHeight="1" x14ac:dyDescent="0.2">
      <c r="A228" s="10" t="s">
        <v>1079</v>
      </c>
      <c r="B228" s="10"/>
      <c r="C228" s="43"/>
      <c r="D228" s="19"/>
      <c r="E228" s="8"/>
      <c r="F228" s="37"/>
      <c r="G228" s="37"/>
    </row>
    <row r="229" spans="1:8" ht="15.75" customHeight="1" x14ac:dyDescent="0.2">
      <c r="A229" s="88" t="s">
        <v>0</v>
      </c>
      <c r="B229" s="89"/>
      <c r="C229" s="89"/>
      <c r="D229" s="90" t="s">
        <v>1</v>
      </c>
      <c r="E229" s="92" t="s">
        <v>9</v>
      </c>
      <c r="F229" s="86" t="s">
        <v>10</v>
      </c>
      <c r="G229" s="96" t="s">
        <v>48</v>
      </c>
    </row>
    <row r="230" spans="1:8" ht="15.75" customHeight="1" x14ac:dyDescent="0.2">
      <c r="A230" s="20" t="s">
        <v>2</v>
      </c>
      <c r="B230" s="20" t="s">
        <v>3</v>
      </c>
      <c r="C230" s="44" t="s">
        <v>4</v>
      </c>
      <c r="D230" s="91"/>
      <c r="E230" s="93"/>
      <c r="F230" s="87"/>
      <c r="G230" s="97"/>
    </row>
    <row r="231" spans="1:8" ht="15.75" customHeight="1" x14ac:dyDescent="0.25">
      <c r="A231" s="16">
        <v>1</v>
      </c>
      <c r="B231" s="28">
        <v>9768</v>
      </c>
      <c r="C231" s="45" t="s">
        <v>394</v>
      </c>
      <c r="D231" s="30" t="s">
        <v>395</v>
      </c>
      <c r="E231" s="31" t="s">
        <v>5</v>
      </c>
      <c r="F231" s="31" t="s">
        <v>11</v>
      </c>
      <c r="G231" s="31" t="s">
        <v>13</v>
      </c>
    </row>
    <row r="232" spans="1:8" ht="15.75" customHeight="1" x14ac:dyDescent="0.25">
      <c r="A232" s="16">
        <v>2</v>
      </c>
      <c r="B232" s="28">
        <v>9771</v>
      </c>
      <c r="C232" s="45" t="s">
        <v>396</v>
      </c>
      <c r="D232" s="30" t="s">
        <v>397</v>
      </c>
      <c r="E232" s="31" t="s">
        <v>5</v>
      </c>
      <c r="F232" s="31" t="s">
        <v>11</v>
      </c>
      <c r="G232" s="31" t="s">
        <v>14</v>
      </c>
    </row>
    <row r="233" spans="1:8" ht="15.75" customHeight="1" x14ac:dyDescent="0.25">
      <c r="A233" s="16">
        <v>3</v>
      </c>
      <c r="B233" s="28">
        <v>9783</v>
      </c>
      <c r="C233" s="45" t="s">
        <v>398</v>
      </c>
      <c r="D233" s="30" t="s">
        <v>399</v>
      </c>
      <c r="E233" s="31" t="s">
        <v>6</v>
      </c>
      <c r="F233" s="31" t="s">
        <v>11</v>
      </c>
      <c r="G233" s="31" t="s">
        <v>13</v>
      </c>
    </row>
    <row r="234" spans="1:8" ht="15.75" customHeight="1" x14ac:dyDescent="0.25">
      <c r="A234" s="16">
        <v>4</v>
      </c>
      <c r="B234" s="28">
        <v>9793</v>
      </c>
      <c r="C234" s="45" t="s">
        <v>400</v>
      </c>
      <c r="D234" s="30" t="s">
        <v>401</v>
      </c>
      <c r="E234" s="31" t="s">
        <v>5</v>
      </c>
      <c r="F234" s="31" t="s">
        <v>11</v>
      </c>
      <c r="G234" s="31" t="s">
        <v>13</v>
      </c>
    </row>
    <row r="235" spans="1:8" ht="15.75" customHeight="1" x14ac:dyDescent="0.25">
      <c r="A235" s="16">
        <v>5</v>
      </c>
      <c r="B235" s="28">
        <v>9794</v>
      </c>
      <c r="C235" s="45" t="s">
        <v>402</v>
      </c>
      <c r="D235" s="30" t="s">
        <v>403</v>
      </c>
      <c r="E235" s="31" t="s">
        <v>6</v>
      </c>
      <c r="F235" s="31" t="s">
        <v>11</v>
      </c>
      <c r="G235" s="31" t="s">
        <v>13</v>
      </c>
    </row>
    <row r="236" spans="1:8" ht="15.75" customHeight="1" x14ac:dyDescent="0.25">
      <c r="A236" s="16">
        <v>6</v>
      </c>
      <c r="B236" s="28">
        <v>9805</v>
      </c>
      <c r="C236" s="45" t="s">
        <v>404</v>
      </c>
      <c r="D236" s="30" t="s">
        <v>405</v>
      </c>
      <c r="E236" s="31" t="s">
        <v>6</v>
      </c>
      <c r="F236" s="31" t="s">
        <v>11</v>
      </c>
      <c r="G236" s="31" t="s">
        <v>14</v>
      </c>
    </row>
    <row r="237" spans="1:8" ht="15.75" customHeight="1" x14ac:dyDescent="0.25">
      <c r="A237" s="16">
        <v>7</v>
      </c>
      <c r="B237" s="28">
        <v>9826</v>
      </c>
      <c r="C237" s="45" t="s">
        <v>406</v>
      </c>
      <c r="D237" s="30" t="s">
        <v>23</v>
      </c>
      <c r="E237" s="31" t="s">
        <v>6</v>
      </c>
      <c r="F237" s="31" t="s">
        <v>11</v>
      </c>
      <c r="G237" s="31" t="s">
        <v>13</v>
      </c>
    </row>
    <row r="238" spans="1:8" ht="15.75" customHeight="1" x14ac:dyDescent="0.25">
      <c r="A238" s="16">
        <v>8</v>
      </c>
      <c r="B238" s="28">
        <v>9829</v>
      </c>
      <c r="C238" s="45" t="s">
        <v>407</v>
      </c>
      <c r="D238" s="32" t="s">
        <v>408</v>
      </c>
      <c r="E238" s="31" t="s">
        <v>6</v>
      </c>
      <c r="F238" s="31" t="s">
        <v>11</v>
      </c>
      <c r="G238" s="31" t="s">
        <v>14</v>
      </c>
    </row>
    <row r="239" spans="1:8" ht="15.75" customHeight="1" x14ac:dyDescent="0.25">
      <c r="A239" s="16">
        <v>9</v>
      </c>
      <c r="B239" s="28">
        <v>9840</v>
      </c>
      <c r="C239" s="47" t="s">
        <v>409</v>
      </c>
      <c r="D239" s="32" t="s">
        <v>410</v>
      </c>
      <c r="E239" s="31" t="s">
        <v>6</v>
      </c>
      <c r="F239" s="31" t="s">
        <v>11</v>
      </c>
      <c r="G239" s="31" t="s">
        <v>14</v>
      </c>
    </row>
    <row r="240" spans="1:8" ht="15.75" customHeight="1" x14ac:dyDescent="0.25">
      <c r="A240" s="16">
        <v>10</v>
      </c>
      <c r="B240" s="28">
        <v>9848</v>
      </c>
      <c r="C240" s="45" t="s">
        <v>411</v>
      </c>
      <c r="D240" s="30" t="s">
        <v>27</v>
      </c>
      <c r="E240" s="31" t="s">
        <v>5</v>
      </c>
      <c r="F240" s="31" t="s">
        <v>11</v>
      </c>
      <c r="G240" s="31" t="s">
        <v>13</v>
      </c>
    </row>
    <row r="241" spans="1:7" ht="15.75" customHeight="1" x14ac:dyDescent="0.25">
      <c r="A241" s="16">
        <v>11</v>
      </c>
      <c r="B241" s="28">
        <v>9849</v>
      </c>
      <c r="C241" s="45" t="s">
        <v>412</v>
      </c>
      <c r="D241" s="30" t="s">
        <v>413</v>
      </c>
      <c r="E241" s="31" t="s">
        <v>5</v>
      </c>
      <c r="F241" s="31" t="s">
        <v>11</v>
      </c>
      <c r="G241" s="31" t="s">
        <v>13</v>
      </c>
    </row>
    <row r="242" spans="1:7" ht="15.75" customHeight="1" x14ac:dyDescent="0.25">
      <c r="A242" s="16">
        <v>12</v>
      </c>
      <c r="B242" s="28">
        <v>9860</v>
      </c>
      <c r="C242" s="45" t="s">
        <v>414</v>
      </c>
      <c r="D242" s="32" t="s">
        <v>415</v>
      </c>
      <c r="E242" s="31" t="s">
        <v>5</v>
      </c>
      <c r="F242" s="31" t="s">
        <v>11</v>
      </c>
      <c r="G242" s="31" t="s">
        <v>13</v>
      </c>
    </row>
    <row r="243" spans="1:7" ht="15.75" customHeight="1" x14ac:dyDescent="0.25">
      <c r="A243" s="16">
        <v>13</v>
      </c>
      <c r="B243" s="28">
        <v>9871</v>
      </c>
      <c r="C243" s="45" t="s">
        <v>416</v>
      </c>
      <c r="D243" s="30" t="s">
        <v>417</v>
      </c>
      <c r="E243" s="31" t="s">
        <v>6</v>
      </c>
      <c r="F243" s="31" t="s">
        <v>11</v>
      </c>
      <c r="G243" s="31" t="s">
        <v>13</v>
      </c>
    </row>
    <row r="244" spans="1:7" ht="15.75" customHeight="1" x14ac:dyDescent="0.25">
      <c r="A244" s="16">
        <v>14</v>
      </c>
      <c r="B244" s="28">
        <v>9879</v>
      </c>
      <c r="C244" s="45" t="s">
        <v>418</v>
      </c>
      <c r="D244" s="30" t="s">
        <v>419</v>
      </c>
      <c r="E244" s="31" t="s">
        <v>6</v>
      </c>
      <c r="F244" s="31" t="s">
        <v>11</v>
      </c>
      <c r="G244" s="31" t="s">
        <v>13</v>
      </c>
    </row>
    <row r="245" spans="1:7" ht="15.75" customHeight="1" x14ac:dyDescent="0.25">
      <c r="A245" s="16">
        <v>15</v>
      </c>
      <c r="B245" s="28">
        <v>9891</v>
      </c>
      <c r="C245" s="45" t="s">
        <v>420</v>
      </c>
      <c r="D245" s="30" t="s">
        <v>421</v>
      </c>
      <c r="E245" s="31" t="s">
        <v>5</v>
      </c>
      <c r="F245" s="31" t="s">
        <v>11</v>
      </c>
      <c r="G245" s="31" t="s">
        <v>13</v>
      </c>
    </row>
    <row r="246" spans="1:7" ht="15.75" customHeight="1" x14ac:dyDescent="0.25">
      <c r="A246" s="16">
        <v>16</v>
      </c>
      <c r="B246" s="28">
        <v>9899</v>
      </c>
      <c r="C246" s="46" t="s">
        <v>422</v>
      </c>
      <c r="D246" s="27" t="s">
        <v>423</v>
      </c>
      <c r="E246" s="18" t="s">
        <v>5</v>
      </c>
      <c r="F246" s="31" t="s">
        <v>11</v>
      </c>
      <c r="G246" s="31" t="s">
        <v>13</v>
      </c>
    </row>
    <row r="247" spans="1:7" ht="15.75" customHeight="1" x14ac:dyDescent="0.25">
      <c r="A247" s="16">
        <v>17</v>
      </c>
      <c r="B247" s="28">
        <v>9902</v>
      </c>
      <c r="C247" s="46" t="s">
        <v>424</v>
      </c>
      <c r="D247" s="27" t="s">
        <v>425</v>
      </c>
      <c r="E247" s="18" t="s">
        <v>5</v>
      </c>
      <c r="F247" s="31" t="s">
        <v>11</v>
      </c>
      <c r="G247" s="31" t="s">
        <v>13</v>
      </c>
    </row>
    <row r="248" spans="1:7" ht="15.75" customHeight="1" x14ac:dyDescent="0.25">
      <c r="A248" s="16">
        <v>18</v>
      </c>
      <c r="B248" s="28">
        <v>9912</v>
      </c>
      <c r="C248" s="45" t="s">
        <v>426</v>
      </c>
      <c r="D248" s="30" t="s">
        <v>427</v>
      </c>
      <c r="E248" s="31" t="s">
        <v>5</v>
      </c>
      <c r="F248" s="31" t="s">
        <v>11</v>
      </c>
      <c r="G248" s="31" t="s">
        <v>14</v>
      </c>
    </row>
    <row r="249" spans="1:7" ht="15.75" customHeight="1" x14ac:dyDescent="0.25">
      <c r="A249" s="16">
        <v>19</v>
      </c>
      <c r="B249" s="28">
        <v>9914</v>
      </c>
      <c r="C249" s="45" t="s">
        <v>428</v>
      </c>
      <c r="D249" s="32" t="s">
        <v>429</v>
      </c>
      <c r="E249" s="31" t="s">
        <v>6</v>
      </c>
      <c r="F249" s="31" t="s">
        <v>11</v>
      </c>
      <c r="G249" s="31" t="s">
        <v>14</v>
      </c>
    </row>
    <row r="250" spans="1:7" ht="15.75" customHeight="1" x14ac:dyDescent="0.25">
      <c r="A250" s="16">
        <v>20</v>
      </c>
      <c r="B250" s="28">
        <v>9919</v>
      </c>
      <c r="C250" s="45" t="s">
        <v>430</v>
      </c>
      <c r="D250" s="30" t="s">
        <v>431</v>
      </c>
      <c r="E250" s="31" t="s">
        <v>5</v>
      </c>
      <c r="F250" s="31" t="s">
        <v>11</v>
      </c>
      <c r="G250" s="31" t="s">
        <v>14</v>
      </c>
    </row>
    <row r="251" spans="1:7" ht="15.75" customHeight="1" x14ac:dyDescent="0.25">
      <c r="A251" s="16">
        <v>21</v>
      </c>
      <c r="B251" s="28">
        <v>9922</v>
      </c>
      <c r="C251" s="46" t="s">
        <v>432</v>
      </c>
      <c r="D251" s="27" t="s">
        <v>433</v>
      </c>
      <c r="E251" s="18" t="s">
        <v>6</v>
      </c>
      <c r="F251" s="18" t="s">
        <v>11</v>
      </c>
      <c r="G251" s="31" t="s">
        <v>13</v>
      </c>
    </row>
    <row r="252" spans="1:7" ht="15.75" customHeight="1" x14ac:dyDescent="0.25">
      <c r="A252" s="16">
        <v>22</v>
      </c>
      <c r="B252" s="28">
        <v>9935</v>
      </c>
      <c r="C252" s="45" t="s">
        <v>434</v>
      </c>
      <c r="D252" s="30" t="s">
        <v>435</v>
      </c>
      <c r="E252" s="31" t="s">
        <v>5</v>
      </c>
      <c r="F252" s="31" t="s">
        <v>11</v>
      </c>
      <c r="G252" s="31" t="s">
        <v>13</v>
      </c>
    </row>
    <row r="253" spans="1:7" ht="15.75" customHeight="1" x14ac:dyDescent="0.25">
      <c r="A253" s="16">
        <v>23</v>
      </c>
      <c r="B253" s="28">
        <v>9940</v>
      </c>
      <c r="C253" s="45" t="s">
        <v>436</v>
      </c>
      <c r="D253" s="30" t="s">
        <v>37</v>
      </c>
      <c r="E253" s="31" t="s">
        <v>6</v>
      </c>
      <c r="F253" s="31" t="s">
        <v>11</v>
      </c>
      <c r="G253" s="31" t="s">
        <v>13</v>
      </c>
    </row>
    <row r="254" spans="1:7" ht="15.75" customHeight="1" x14ac:dyDescent="0.25">
      <c r="A254" s="16">
        <v>24</v>
      </c>
      <c r="B254" s="28">
        <v>9943</v>
      </c>
      <c r="C254" s="45" t="s">
        <v>437</v>
      </c>
      <c r="D254" s="30" t="s">
        <v>438</v>
      </c>
      <c r="E254" s="31" t="s">
        <v>5</v>
      </c>
      <c r="F254" s="31" t="s">
        <v>11</v>
      </c>
      <c r="G254" s="31" t="s">
        <v>13</v>
      </c>
    </row>
    <row r="255" spans="1:7" ht="15.75" customHeight="1" x14ac:dyDescent="0.25">
      <c r="A255" s="16">
        <v>25</v>
      </c>
      <c r="B255" s="28">
        <v>9950</v>
      </c>
      <c r="C255" s="45" t="s">
        <v>439</v>
      </c>
      <c r="D255" s="30" t="s">
        <v>440</v>
      </c>
      <c r="E255" s="31" t="s">
        <v>6</v>
      </c>
      <c r="F255" s="31" t="s">
        <v>11</v>
      </c>
      <c r="G255" s="31" t="s">
        <v>13</v>
      </c>
    </row>
    <row r="256" spans="1:7" ht="15.75" customHeight="1" x14ac:dyDescent="0.25">
      <c r="A256" s="16">
        <v>26</v>
      </c>
      <c r="B256" s="28">
        <v>9954</v>
      </c>
      <c r="C256" s="45" t="s">
        <v>441</v>
      </c>
      <c r="D256" s="30" t="s">
        <v>442</v>
      </c>
      <c r="E256" s="31" t="s">
        <v>6</v>
      </c>
      <c r="F256" s="31" t="s">
        <v>11</v>
      </c>
      <c r="G256" s="31" t="s">
        <v>14</v>
      </c>
    </row>
    <row r="257" spans="1:8" ht="15.75" customHeight="1" x14ac:dyDescent="0.25">
      <c r="A257" s="16">
        <v>27</v>
      </c>
      <c r="B257" s="28">
        <v>9958</v>
      </c>
      <c r="C257" s="45" t="s">
        <v>443</v>
      </c>
      <c r="D257" s="30" t="s">
        <v>444</v>
      </c>
      <c r="E257" s="31" t="s">
        <v>6</v>
      </c>
      <c r="F257" s="31" t="s">
        <v>11</v>
      </c>
      <c r="G257" s="31" t="s">
        <v>14</v>
      </c>
    </row>
    <row r="258" spans="1:8" ht="15.75" customHeight="1" x14ac:dyDescent="0.25">
      <c r="A258" s="16">
        <v>28</v>
      </c>
      <c r="B258" s="28">
        <v>9962</v>
      </c>
      <c r="C258" s="45" t="s">
        <v>445</v>
      </c>
      <c r="D258" s="32" t="s">
        <v>446</v>
      </c>
      <c r="E258" s="31" t="s">
        <v>5</v>
      </c>
      <c r="F258" s="31" t="s">
        <v>11</v>
      </c>
      <c r="G258" s="31" t="s">
        <v>13</v>
      </c>
    </row>
    <row r="259" spans="1:8" ht="15.75" customHeight="1" x14ac:dyDescent="0.25">
      <c r="A259" s="16">
        <v>29</v>
      </c>
      <c r="B259" s="28">
        <v>9968</v>
      </c>
      <c r="C259" s="45" t="s">
        <v>447</v>
      </c>
      <c r="D259" s="30" t="s">
        <v>448</v>
      </c>
      <c r="E259" s="31" t="s">
        <v>5</v>
      </c>
      <c r="F259" s="31" t="s">
        <v>11</v>
      </c>
      <c r="G259" s="31" t="s">
        <v>14</v>
      </c>
    </row>
    <row r="260" spans="1:8" ht="15.75" customHeight="1" x14ac:dyDescent="0.25">
      <c r="A260" s="16">
        <v>30</v>
      </c>
      <c r="B260" s="28">
        <v>9977</v>
      </c>
      <c r="C260" s="45" t="s">
        <v>449</v>
      </c>
      <c r="D260" s="30" t="s">
        <v>450</v>
      </c>
      <c r="E260" s="31" t="s">
        <v>5</v>
      </c>
      <c r="F260" s="31" t="s">
        <v>11</v>
      </c>
      <c r="G260" s="31" t="s">
        <v>13</v>
      </c>
    </row>
    <row r="261" spans="1:8" ht="15.75" customHeight="1" x14ac:dyDescent="0.25">
      <c r="A261" s="16">
        <v>31</v>
      </c>
      <c r="B261" s="28">
        <v>9981</v>
      </c>
      <c r="C261" s="45" t="s">
        <v>451</v>
      </c>
      <c r="D261" s="30" t="s">
        <v>452</v>
      </c>
      <c r="E261" s="31" t="s">
        <v>6</v>
      </c>
      <c r="F261" s="31" t="s">
        <v>11</v>
      </c>
      <c r="G261" s="31" t="s">
        <v>13</v>
      </c>
    </row>
    <row r="262" spans="1:8" ht="15.75" customHeight="1" x14ac:dyDescent="0.25">
      <c r="A262" s="16">
        <v>32</v>
      </c>
      <c r="B262" s="28">
        <v>9987</v>
      </c>
      <c r="C262" s="45" t="s">
        <v>453</v>
      </c>
      <c r="D262" s="30" t="s">
        <v>454</v>
      </c>
      <c r="E262" s="31" t="s">
        <v>6</v>
      </c>
      <c r="F262" s="31" t="s">
        <v>11</v>
      </c>
      <c r="G262" s="31" t="s">
        <v>13</v>
      </c>
    </row>
    <row r="263" spans="1:8" ht="15.75" customHeight="1" x14ac:dyDescent="0.25">
      <c r="A263" s="16">
        <v>33</v>
      </c>
      <c r="B263" s="28">
        <v>9996</v>
      </c>
      <c r="C263" s="45" t="s">
        <v>455</v>
      </c>
      <c r="D263" s="30" t="s">
        <v>456</v>
      </c>
      <c r="E263" s="31" t="s">
        <v>6</v>
      </c>
      <c r="F263" s="31" t="s">
        <v>11</v>
      </c>
      <c r="G263" s="31" t="s">
        <v>14</v>
      </c>
    </row>
    <row r="264" spans="1:8" ht="15.75" customHeight="1" x14ac:dyDescent="0.25">
      <c r="A264" s="16">
        <v>34</v>
      </c>
      <c r="B264" s="28">
        <v>9998</v>
      </c>
      <c r="C264" s="45" t="s">
        <v>457</v>
      </c>
      <c r="D264" s="32" t="s">
        <v>458</v>
      </c>
      <c r="E264" s="31" t="s">
        <v>6</v>
      </c>
      <c r="F264" s="31" t="s">
        <v>11</v>
      </c>
      <c r="G264" s="31" t="s">
        <v>14</v>
      </c>
    </row>
    <row r="265" spans="1:8" ht="15.75" customHeight="1" x14ac:dyDescent="0.25">
      <c r="A265" s="16">
        <v>35</v>
      </c>
      <c r="B265" s="28">
        <v>10009</v>
      </c>
      <c r="C265" s="45" t="s">
        <v>459</v>
      </c>
      <c r="D265" s="30" t="s">
        <v>460</v>
      </c>
      <c r="E265" s="31" t="s">
        <v>6</v>
      </c>
      <c r="F265" s="31" t="s">
        <v>49</v>
      </c>
      <c r="G265" s="31" t="s">
        <v>13</v>
      </c>
    </row>
    <row r="266" spans="1:8" ht="15.75" customHeight="1" x14ac:dyDescent="0.25">
      <c r="A266" s="16">
        <v>36</v>
      </c>
      <c r="B266" s="33">
        <v>10013</v>
      </c>
      <c r="C266" s="47" t="s">
        <v>461</v>
      </c>
      <c r="D266" s="35" t="s">
        <v>47</v>
      </c>
      <c r="E266" s="36" t="s">
        <v>5</v>
      </c>
      <c r="F266" s="36" t="s">
        <v>11</v>
      </c>
      <c r="G266" s="31" t="s">
        <v>13</v>
      </c>
    </row>
    <row r="267" spans="1:8" ht="15.75" customHeight="1" x14ac:dyDescent="0.2">
      <c r="A267" s="3" t="s">
        <v>5</v>
      </c>
      <c r="B267" s="3">
        <f>COUNTIF(E231:E266,A267)</f>
        <v>17</v>
      </c>
      <c r="C267" s="48" t="s">
        <v>8</v>
      </c>
      <c r="D267" s="6" t="s">
        <v>11</v>
      </c>
      <c r="E267" s="3">
        <f>COUNTIF(F231:F266,D267)</f>
        <v>35</v>
      </c>
      <c r="F267" s="3"/>
      <c r="G267" s="7"/>
      <c r="H267" s="9"/>
    </row>
    <row r="268" spans="1:8" ht="15.75" customHeight="1" x14ac:dyDescent="0.2">
      <c r="A268" s="3" t="s">
        <v>6</v>
      </c>
      <c r="B268" s="5">
        <f>COUNTIF(E231:E266,A268)</f>
        <v>19</v>
      </c>
      <c r="C268" s="48" t="s">
        <v>8</v>
      </c>
      <c r="D268" s="6" t="s">
        <v>49</v>
      </c>
      <c r="E268" s="3">
        <f>COUNTIF(F231:F266,D268)</f>
        <v>1</v>
      </c>
      <c r="F268" s="3"/>
      <c r="G268" s="7"/>
      <c r="H268" s="9"/>
    </row>
    <row r="269" spans="1:8" ht="15.75" customHeight="1" x14ac:dyDescent="0.2">
      <c r="A269" s="3" t="s">
        <v>7</v>
      </c>
      <c r="B269" s="3">
        <f>B267+B268</f>
        <v>36</v>
      </c>
      <c r="C269" s="48" t="s">
        <v>8</v>
      </c>
      <c r="D269" s="6" t="s">
        <v>12</v>
      </c>
      <c r="E269" s="3">
        <f>COUNTIF(F231:F266,D269)</f>
        <v>0</v>
      </c>
      <c r="F269" s="3"/>
      <c r="G269" s="7"/>
      <c r="H269" s="9"/>
    </row>
    <row r="270" spans="1:8" ht="15.75" customHeight="1" x14ac:dyDescent="0.2">
      <c r="D270" s="40" t="s">
        <v>13</v>
      </c>
      <c r="E270" s="41">
        <f>COUNTIF(G231:G266,D270)</f>
        <v>24</v>
      </c>
      <c r="F270" s="3"/>
      <c r="G270" s="7"/>
      <c r="H270" s="9"/>
    </row>
    <row r="271" spans="1:8" ht="15.75" customHeight="1" x14ac:dyDescent="0.2">
      <c r="D271" s="40" t="s">
        <v>14</v>
      </c>
      <c r="E271" s="41">
        <f>COUNTIF(G231:G266,D271)</f>
        <v>12</v>
      </c>
      <c r="F271" s="3"/>
      <c r="G271" s="7"/>
      <c r="H271" s="9"/>
    </row>
    <row r="272" spans="1:8" ht="15.75" customHeight="1" x14ac:dyDescent="0.2">
      <c r="A272" s="10" t="s">
        <v>1080</v>
      </c>
      <c r="B272" s="10"/>
      <c r="C272" s="43"/>
      <c r="D272" s="19"/>
      <c r="E272" s="8"/>
      <c r="F272" s="8"/>
      <c r="G272" s="7"/>
    </row>
    <row r="273" spans="1:7" ht="15.75" customHeight="1" x14ac:dyDescent="0.2">
      <c r="A273" s="88" t="s">
        <v>0</v>
      </c>
      <c r="B273" s="89"/>
      <c r="C273" s="89"/>
      <c r="D273" s="90" t="s">
        <v>1</v>
      </c>
      <c r="E273" s="92" t="s">
        <v>9</v>
      </c>
      <c r="F273" s="86" t="s">
        <v>10</v>
      </c>
      <c r="G273" s="96" t="s">
        <v>48</v>
      </c>
    </row>
    <row r="274" spans="1:7" ht="15.75" customHeight="1" x14ac:dyDescent="0.2">
      <c r="A274" s="20" t="s">
        <v>2</v>
      </c>
      <c r="B274" s="20" t="s">
        <v>3</v>
      </c>
      <c r="C274" s="44" t="s">
        <v>4</v>
      </c>
      <c r="D274" s="91"/>
      <c r="E274" s="93"/>
      <c r="F274" s="87"/>
      <c r="G274" s="97"/>
    </row>
    <row r="275" spans="1:7" ht="15.75" customHeight="1" x14ac:dyDescent="0.25">
      <c r="A275" s="16">
        <v>1</v>
      </c>
      <c r="B275" s="28">
        <v>9765</v>
      </c>
      <c r="C275" s="45" t="s">
        <v>462</v>
      </c>
      <c r="D275" s="32" t="s">
        <v>463</v>
      </c>
      <c r="E275" s="31" t="s">
        <v>5</v>
      </c>
      <c r="F275" s="31" t="s">
        <v>11</v>
      </c>
      <c r="G275" s="31" t="s">
        <v>13</v>
      </c>
    </row>
    <row r="276" spans="1:7" ht="15.75" customHeight="1" x14ac:dyDescent="0.25">
      <c r="A276" s="16">
        <v>2</v>
      </c>
      <c r="B276" s="28">
        <v>9767</v>
      </c>
      <c r="C276" s="45" t="s">
        <v>464</v>
      </c>
      <c r="D276" s="32" t="s">
        <v>16</v>
      </c>
      <c r="E276" s="31" t="s">
        <v>5</v>
      </c>
      <c r="F276" s="31" t="s">
        <v>11</v>
      </c>
      <c r="G276" s="31" t="s">
        <v>13</v>
      </c>
    </row>
    <row r="277" spans="1:7" ht="15.75" customHeight="1" x14ac:dyDescent="0.25">
      <c r="A277" s="16">
        <v>3</v>
      </c>
      <c r="B277" s="28">
        <v>9792</v>
      </c>
      <c r="C277" s="45" t="s">
        <v>465</v>
      </c>
      <c r="D277" s="32" t="s">
        <v>466</v>
      </c>
      <c r="E277" s="31" t="s">
        <v>6</v>
      </c>
      <c r="F277" s="31" t="s">
        <v>11</v>
      </c>
      <c r="G277" s="31" t="s">
        <v>13</v>
      </c>
    </row>
    <row r="278" spans="1:7" ht="15.75" customHeight="1" x14ac:dyDescent="0.25">
      <c r="A278" s="16">
        <v>4</v>
      </c>
      <c r="B278" s="28">
        <v>9801</v>
      </c>
      <c r="C278" s="45" t="s">
        <v>467</v>
      </c>
      <c r="D278" s="30" t="s">
        <v>468</v>
      </c>
      <c r="E278" s="31" t="s">
        <v>6</v>
      </c>
      <c r="F278" s="31" t="s">
        <v>11</v>
      </c>
      <c r="G278" s="31" t="s">
        <v>13</v>
      </c>
    </row>
    <row r="279" spans="1:7" ht="15.75" customHeight="1" x14ac:dyDescent="0.25">
      <c r="A279" s="16">
        <v>5</v>
      </c>
      <c r="B279" s="28">
        <v>9814</v>
      </c>
      <c r="C279" s="45" t="s">
        <v>469</v>
      </c>
      <c r="D279" s="30" t="s">
        <v>470</v>
      </c>
      <c r="E279" s="31" t="s">
        <v>6</v>
      </c>
      <c r="F279" s="31" t="s">
        <v>11</v>
      </c>
      <c r="G279" s="31" t="s">
        <v>14</v>
      </c>
    </row>
    <row r="280" spans="1:7" ht="15.75" customHeight="1" x14ac:dyDescent="0.25">
      <c r="A280" s="16">
        <v>6</v>
      </c>
      <c r="B280" s="28">
        <v>9824</v>
      </c>
      <c r="C280" s="45" t="s">
        <v>471</v>
      </c>
      <c r="D280" s="30" t="s">
        <v>472</v>
      </c>
      <c r="E280" s="31" t="s">
        <v>6</v>
      </c>
      <c r="F280" s="31" t="s">
        <v>11</v>
      </c>
      <c r="G280" s="31" t="s">
        <v>13</v>
      </c>
    </row>
    <row r="281" spans="1:7" ht="15.75" customHeight="1" x14ac:dyDescent="0.25">
      <c r="A281" s="16">
        <v>7</v>
      </c>
      <c r="B281" s="28">
        <v>9832</v>
      </c>
      <c r="C281" s="45" t="s">
        <v>473</v>
      </c>
      <c r="D281" s="30" t="s">
        <v>474</v>
      </c>
      <c r="E281" s="31" t="s">
        <v>5</v>
      </c>
      <c r="F281" s="31" t="s">
        <v>12</v>
      </c>
      <c r="G281" s="31" t="s">
        <v>13</v>
      </c>
    </row>
    <row r="282" spans="1:7" ht="15.75" customHeight="1" x14ac:dyDescent="0.25">
      <c r="A282" s="16">
        <v>8</v>
      </c>
      <c r="B282" s="28">
        <v>9833</v>
      </c>
      <c r="C282" s="45" t="s">
        <v>475</v>
      </c>
      <c r="D282" s="30" t="s">
        <v>476</v>
      </c>
      <c r="E282" s="31" t="s">
        <v>6</v>
      </c>
      <c r="F282" s="31" t="s">
        <v>11</v>
      </c>
      <c r="G282" s="31" t="s">
        <v>14</v>
      </c>
    </row>
    <row r="283" spans="1:7" ht="15.75" customHeight="1" x14ac:dyDescent="0.25">
      <c r="A283" s="16">
        <v>9</v>
      </c>
      <c r="B283" s="28">
        <v>9853</v>
      </c>
      <c r="C283" s="45" t="s">
        <v>477</v>
      </c>
      <c r="D283" s="30" t="s">
        <v>478</v>
      </c>
      <c r="E283" s="31" t="s">
        <v>5</v>
      </c>
      <c r="F283" s="31" t="s">
        <v>49</v>
      </c>
      <c r="G283" s="31" t="s">
        <v>13</v>
      </c>
    </row>
    <row r="284" spans="1:7" ht="15.75" customHeight="1" x14ac:dyDescent="0.25">
      <c r="A284" s="16">
        <v>10</v>
      </c>
      <c r="B284" s="28">
        <v>9857</v>
      </c>
      <c r="C284" s="45" t="s">
        <v>479</v>
      </c>
      <c r="D284" s="30" t="s">
        <v>28</v>
      </c>
      <c r="E284" s="31" t="s">
        <v>5</v>
      </c>
      <c r="F284" s="31" t="s">
        <v>11</v>
      </c>
      <c r="G284" s="31" t="s">
        <v>13</v>
      </c>
    </row>
    <row r="285" spans="1:7" ht="15.75" customHeight="1" x14ac:dyDescent="0.25">
      <c r="A285" s="16">
        <v>11</v>
      </c>
      <c r="B285" s="28">
        <v>9858</v>
      </c>
      <c r="C285" s="45" t="s">
        <v>480</v>
      </c>
      <c r="D285" s="30" t="s">
        <v>29</v>
      </c>
      <c r="E285" s="31" t="s">
        <v>5</v>
      </c>
      <c r="F285" s="31" t="s">
        <v>11</v>
      </c>
      <c r="G285" s="31" t="s">
        <v>13</v>
      </c>
    </row>
    <row r="286" spans="1:7" ht="15.75" customHeight="1" x14ac:dyDescent="0.25">
      <c r="A286" s="16">
        <v>12</v>
      </c>
      <c r="B286" s="28">
        <v>9867</v>
      </c>
      <c r="C286" s="45" t="s">
        <v>481</v>
      </c>
      <c r="D286" s="30" t="s">
        <v>482</v>
      </c>
      <c r="E286" s="31" t="s">
        <v>6</v>
      </c>
      <c r="F286" s="31" t="s">
        <v>11</v>
      </c>
      <c r="G286" s="31" t="s">
        <v>13</v>
      </c>
    </row>
    <row r="287" spans="1:7" ht="15.75" customHeight="1" x14ac:dyDescent="0.25">
      <c r="A287" s="16">
        <v>13</v>
      </c>
      <c r="B287" s="28">
        <v>9875</v>
      </c>
      <c r="C287" s="45" t="s">
        <v>483</v>
      </c>
      <c r="D287" s="30" t="s">
        <v>30</v>
      </c>
      <c r="E287" s="31" t="s">
        <v>5</v>
      </c>
      <c r="F287" s="31" t="s">
        <v>11</v>
      </c>
      <c r="G287" s="31" t="s">
        <v>13</v>
      </c>
    </row>
    <row r="288" spans="1:7" ht="15.75" customHeight="1" x14ac:dyDescent="0.25">
      <c r="A288" s="16">
        <v>14</v>
      </c>
      <c r="B288" s="28">
        <v>9878</v>
      </c>
      <c r="C288" s="45" t="s">
        <v>484</v>
      </c>
      <c r="D288" s="30" t="s">
        <v>485</v>
      </c>
      <c r="E288" s="31" t="s">
        <v>6</v>
      </c>
      <c r="F288" s="31" t="s">
        <v>11</v>
      </c>
      <c r="G288" s="31" t="s">
        <v>13</v>
      </c>
    </row>
    <row r="289" spans="1:7" ht="15.75" customHeight="1" x14ac:dyDescent="0.25">
      <c r="A289" s="16">
        <v>15</v>
      </c>
      <c r="B289" s="28">
        <v>9901</v>
      </c>
      <c r="C289" s="45" t="s">
        <v>486</v>
      </c>
      <c r="D289" s="30" t="s">
        <v>487</v>
      </c>
      <c r="E289" s="31" t="s">
        <v>5</v>
      </c>
      <c r="F289" s="31" t="s">
        <v>49</v>
      </c>
      <c r="G289" s="31" t="s">
        <v>13</v>
      </c>
    </row>
    <row r="290" spans="1:7" ht="15.75" customHeight="1" x14ac:dyDescent="0.25">
      <c r="A290" s="16">
        <v>16</v>
      </c>
      <c r="B290" s="28">
        <v>9903</v>
      </c>
      <c r="C290" s="45" t="s">
        <v>488</v>
      </c>
      <c r="D290" s="30" t="s">
        <v>489</v>
      </c>
      <c r="E290" s="31" t="s">
        <v>5</v>
      </c>
      <c r="F290" s="31" t="s">
        <v>11</v>
      </c>
      <c r="G290" s="31" t="s">
        <v>14</v>
      </c>
    </row>
    <row r="291" spans="1:7" ht="15.75" customHeight="1" x14ac:dyDescent="0.25">
      <c r="A291" s="16">
        <v>17</v>
      </c>
      <c r="B291" s="28">
        <v>9905</v>
      </c>
      <c r="C291" s="45" t="s">
        <v>490</v>
      </c>
      <c r="D291" s="32" t="s">
        <v>491</v>
      </c>
      <c r="E291" s="31" t="s">
        <v>6</v>
      </c>
      <c r="F291" s="31" t="s">
        <v>11</v>
      </c>
      <c r="G291" s="31" t="s">
        <v>13</v>
      </c>
    </row>
    <row r="292" spans="1:7" ht="15.75" customHeight="1" x14ac:dyDescent="0.25">
      <c r="A292" s="16">
        <v>18</v>
      </c>
      <c r="B292" s="28">
        <v>9907</v>
      </c>
      <c r="C292" s="45" t="s">
        <v>492</v>
      </c>
      <c r="D292" s="30" t="s">
        <v>493</v>
      </c>
      <c r="E292" s="31" t="s">
        <v>5</v>
      </c>
      <c r="F292" s="31" t="s">
        <v>12</v>
      </c>
      <c r="G292" s="31" t="s">
        <v>13</v>
      </c>
    </row>
    <row r="293" spans="1:7" ht="15.75" customHeight="1" x14ac:dyDescent="0.25">
      <c r="A293" s="16">
        <v>19</v>
      </c>
      <c r="B293" s="28">
        <v>9913</v>
      </c>
      <c r="C293" s="46" t="s">
        <v>494</v>
      </c>
      <c r="D293" s="27" t="s">
        <v>495</v>
      </c>
      <c r="E293" s="18" t="s">
        <v>6</v>
      </c>
      <c r="F293" s="31" t="s">
        <v>11</v>
      </c>
      <c r="G293" s="31" t="s">
        <v>13</v>
      </c>
    </row>
    <row r="294" spans="1:7" ht="15.75" customHeight="1" x14ac:dyDescent="0.25">
      <c r="A294" s="16">
        <v>20</v>
      </c>
      <c r="B294" s="28">
        <v>9916</v>
      </c>
      <c r="C294" s="45" t="s">
        <v>496</v>
      </c>
      <c r="D294" s="30" t="s">
        <v>497</v>
      </c>
      <c r="E294" s="31" t="s">
        <v>6</v>
      </c>
      <c r="F294" s="31" t="s">
        <v>11</v>
      </c>
      <c r="G294" s="31" t="s">
        <v>13</v>
      </c>
    </row>
    <row r="295" spans="1:7" ht="15.75" customHeight="1" x14ac:dyDescent="0.25">
      <c r="A295" s="16">
        <v>21</v>
      </c>
      <c r="B295" s="28">
        <v>9928</v>
      </c>
      <c r="C295" s="45" t="s">
        <v>498</v>
      </c>
      <c r="D295" s="30" t="s">
        <v>499</v>
      </c>
      <c r="E295" s="31" t="s">
        <v>5</v>
      </c>
      <c r="F295" s="31" t="s">
        <v>49</v>
      </c>
      <c r="G295" s="31" t="s">
        <v>14</v>
      </c>
    </row>
    <row r="296" spans="1:7" ht="15.75" customHeight="1" x14ac:dyDescent="0.25">
      <c r="A296" s="16">
        <v>22</v>
      </c>
      <c r="B296" s="28">
        <v>9932</v>
      </c>
      <c r="C296" s="45" t="s">
        <v>500</v>
      </c>
      <c r="D296" s="30" t="s">
        <v>501</v>
      </c>
      <c r="E296" s="31" t="s">
        <v>5</v>
      </c>
      <c r="F296" s="31" t="s">
        <v>11</v>
      </c>
      <c r="G296" s="31" t="s">
        <v>14</v>
      </c>
    </row>
    <row r="297" spans="1:7" ht="15.75" customHeight="1" x14ac:dyDescent="0.25">
      <c r="A297" s="16">
        <v>23</v>
      </c>
      <c r="B297" s="28">
        <v>9942</v>
      </c>
      <c r="C297" s="45" t="s">
        <v>502</v>
      </c>
      <c r="D297" s="32" t="s">
        <v>503</v>
      </c>
      <c r="E297" s="31" t="s">
        <v>6</v>
      </c>
      <c r="F297" s="31" t="s">
        <v>11</v>
      </c>
      <c r="G297" s="31" t="s">
        <v>14</v>
      </c>
    </row>
    <row r="298" spans="1:7" ht="15.75" customHeight="1" x14ac:dyDescent="0.25">
      <c r="A298" s="16">
        <v>24</v>
      </c>
      <c r="B298" s="28">
        <v>9948</v>
      </c>
      <c r="C298" s="45" t="s">
        <v>504</v>
      </c>
      <c r="D298" s="30" t="s">
        <v>505</v>
      </c>
      <c r="E298" s="31" t="s">
        <v>5</v>
      </c>
      <c r="F298" s="31" t="s">
        <v>11</v>
      </c>
      <c r="G298" s="31" t="s">
        <v>14</v>
      </c>
    </row>
    <row r="299" spans="1:7" ht="15.75" customHeight="1" x14ac:dyDescent="0.25">
      <c r="A299" s="16">
        <v>25</v>
      </c>
      <c r="B299" s="28">
        <v>9952</v>
      </c>
      <c r="C299" s="45" t="s">
        <v>506</v>
      </c>
      <c r="D299" s="30" t="s">
        <v>39</v>
      </c>
      <c r="E299" s="31" t="s">
        <v>6</v>
      </c>
      <c r="F299" s="31" t="s">
        <v>11</v>
      </c>
      <c r="G299" s="31" t="s">
        <v>13</v>
      </c>
    </row>
    <row r="300" spans="1:7" ht="15.75" customHeight="1" x14ac:dyDescent="0.25">
      <c r="A300" s="16">
        <v>26</v>
      </c>
      <c r="B300" s="28">
        <v>9965</v>
      </c>
      <c r="C300" s="45" t="s">
        <v>507</v>
      </c>
      <c r="D300" s="30" t="s">
        <v>508</v>
      </c>
      <c r="E300" s="31" t="s">
        <v>5</v>
      </c>
      <c r="F300" s="31" t="s">
        <v>11</v>
      </c>
      <c r="G300" s="31" t="s">
        <v>14</v>
      </c>
    </row>
    <row r="301" spans="1:7" ht="15.75" customHeight="1" x14ac:dyDescent="0.25">
      <c r="A301" s="16">
        <v>27</v>
      </c>
      <c r="B301" s="28">
        <v>9966</v>
      </c>
      <c r="C301" s="45" t="s">
        <v>509</v>
      </c>
      <c r="D301" s="30" t="s">
        <v>510</v>
      </c>
      <c r="E301" s="31" t="s">
        <v>5</v>
      </c>
      <c r="F301" s="31" t="s">
        <v>11</v>
      </c>
      <c r="G301" s="31" t="s">
        <v>14</v>
      </c>
    </row>
    <row r="302" spans="1:7" ht="15.75" customHeight="1" x14ac:dyDescent="0.25">
      <c r="A302" s="16">
        <v>28</v>
      </c>
      <c r="B302" s="28">
        <v>9969</v>
      </c>
      <c r="C302" s="45" t="s">
        <v>511</v>
      </c>
      <c r="D302" s="32" t="s">
        <v>40</v>
      </c>
      <c r="E302" s="31" t="s">
        <v>5</v>
      </c>
      <c r="F302" s="31" t="s">
        <v>11</v>
      </c>
      <c r="G302" s="31" t="s">
        <v>13</v>
      </c>
    </row>
    <row r="303" spans="1:7" ht="15.75" customHeight="1" x14ac:dyDescent="0.25">
      <c r="A303" s="16">
        <v>29</v>
      </c>
      <c r="B303" s="28">
        <v>9971</v>
      </c>
      <c r="C303" s="45" t="s">
        <v>512</v>
      </c>
      <c r="D303" s="30" t="s">
        <v>513</v>
      </c>
      <c r="E303" s="31" t="s">
        <v>5</v>
      </c>
      <c r="F303" s="31" t="s">
        <v>11</v>
      </c>
      <c r="G303" s="31" t="s">
        <v>13</v>
      </c>
    </row>
    <row r="304" spans="1:7" ht="15.75" customHeight="1" x14ac:dyDescent="0.25">
      <c r="A304" s="16">
        <v>30</v>
      </c>
      <c r="B304" s="28">
        <v>9972</v>
      </c>
      <c r="C304" s="45" t="s">
        <v>514</v>
      </c>
      <c r="D304" s="30" t="s">
        <v>515</v>
      </c>
      <c r="E304" s="31" t="s">
        <v>5</v>
      </c>
      <c r="F304" s="31" t="s">
        <v>11</v>
      </c>
      <c r="G304" s="31" t="s">
        <v>14</v>
      </c>
    </row>
    <row r="305" spans="1:8" ht="15.75" customHeight="1" x14ac:dyDescent="0.25">
      <c r="A305" s="16">
        <v>31</v>
      </c>
      <c r="B305" s="28">
        <v>9986</v>
      </c>
      <c r="C305" s="45" t="s">
        <v>516</v>
      </c>
      <c r="D305" s="30" t="s">
        <v>517</v>
      </c>
      <c r="E305" s="31" t="s">
        <v>6</v>
      </c>
      <c r="F305" s="31" t="s">
        <v>11</v>
      </c>
      <c r="G305" s="31" t="s">
        <v>14</v>
      </c>
    </row>
    <row r="306" spans="1:8" ht="15.75" customHeight="1" x14ac:dyDescent="0.25">
      <c r="A306" s="16">
        <v>32</v>
      </c>
      <c r="B306" s="28">
        <v>9991</v>
      </c>
      <c r="C306" s="45" t="s">
        <v>518</v>
      </c>
      <c r="D306" s="32" t="s">
        <v>519</v>
      </c>
      <c r="E306" s="31" t="s">
        <v>5</v>
      </c>
      <c r="F306" s="31" t="s">
        <v>11</v>
      </c>
      <c r="G306" s="31" t="s">
        <v>13</v>
      </c>
    </row>
    <row r="307" spans="1:8" ht="15.75" customHeight="1" x14ac:dyDescent="0.25">
      <c r="A307" s="16">
        <v>33</v>
      </c>
      <c r="B307" s="28"/>
      <c r="C307" s="46"/>
      <c r="D307" s="27"/>
      <c r="E307" s="18"/>
      <c r="F307" s="31"/>
      <c r="G307" s="31"/>
    </row>
    <row r="308" spans="1:8" ht="15.75" customHeight="1" x14ac:dyDescent="0.25">
      <c r="A308" s="16">
        <v>34</v>
      </c>
      <c r="B308" s="28"/>
      <c r="C308" s="45"/>
      <c r="D308" s="32"/>
      <c r="E308" s="31"/>
      <c r="F308" s="31"/>
      <c r="G308" s="31"/>
    </row>
    <row r="309" spans="1:8" ht="15.75" customHeight="1" x14ac:dyDescent="0.25">
      <c r="A309" s="16">
        <v>35</v>
      </c>
      <c r="B309" s="28"/>
      <c r="C309" s="45"/>
      <c r="D309" s="30"/>
      <c r="E309" s="31"/>
      <c r="F309" s="31"/>
      <c r="G309" s="31"/>
    </row>
    <row r="310" spans="1:8" ht="15.75" customHeight="1" x14ac:dyDescent="0.25">
      <c r="A310" s="16">
        <v>36</v>
      </c>
      <c r="B310" s="28"/>
      <c r="C310" s="45"/>
      <c r="D310" s="30"/>
      <c r="E310" s="31"/>
      <c r="F310" s="31"/>
      <c r="G310" s="31"/>
    </row>
    <row r="311" spans="1:8" ht="15.75" customHeight="1" x14ac:dyDescent="0.2">
      <c r="A311" s="3" t="s">
        <v>5</v>
      </c>
      <c r="B311" s="3">
        <f>COUNTIF(E275:E310,A311)</f>
        <v>19</v>
      </c>
      <c r="C311" s="48" t="s">
        <v>8</v>
      </c>
      <c r="D311" s="6" t="s">
        <v>11</v>
      </c>
      <c r="E311" s="3">
        <f>COUNTIF(F275:F310,D311)</f>
        <v>27</v>
      </c>
      <c r="F311" s="3"/>
      <c r="G311" s="7"/>
      <c r="H311" s="9"/>
    </row>
    <row r="312" spans="1:8" ht="15.75" customHeight="1" x14ac:dyDescent="0.2">
      <c r="A312" s="3" t="s">
        <v>6</v>
      </c>
      <c r="B312" s="5">
        <f>COUNTIF(E275:E310,A312)</f>
        <v>13</v>
      </c>
      <c r="C312" s="48" t="s">
        <v>8</v>
      </c>
      <c r="D312" s="6" t="s">
        <v>49</v>
      </c>
      <c r="E312" s="3">
        <f>COUNTIF(F275:F310,D312)</f>
        <v>3</v>
      </c>
      <c r="F312" s="3"/>
      <c r="G312" s="7"/>
      <c r="H312" s="9"/>
    </row>
    <row r="313" spans="1:8" ht="15.75" customHeight="1" x14ac:dyDescent="0.2">
      <c r="A313" s="3" t="s">
        <v>7</v>
      </c>
      <c r="B313" s="3">
        <f>B311+B312</f>
        <v>32</v>
      </c>
      <c r="C313" s="48" t="s">
        <v>8</v>
      </c>
      <c r="D313" s="6" t="s">
        <v>12</v>
      </c>
      <c r="E313" s="3">
        <f>COUNTIF(F275:F310,D313)</f>
        <v>2</v>
      </c>
      <c r="F313" s="3"/>
      <c r="G313" s="7"/>
      <c r="H313" s="9"/>
    </row>
    <row r="314" spans="1:8" ht="15.75" customHeight="1" x14ac:dyDescent="0.2">
      <c r="D314" s="40" t="s">
        <v>13</v>
      </c>
      <c r="E314" s="41">
        <f>COUNTIF(G275:G310,D314)</f>
        <v>21</v>
      </c>
      <c r="F314" s="3"/>
      <c r="G314" s="7"/>
      <c r="H314" s="9"/>
    </row>
    <row r="315" spans="1:8" ht="15.75" customHeight="1" x14ac:dyDescent="0.2">
      <c r="D315" s="40" t="s">
        <v>14</v>
      </c>
      <c r="E315" s="41">
        <f>COUNTIF(G275:G310,D315)</f>
        <v>11</v>
      </c>
      <c r="F315" s="3"/>
      <c r="G315" s="7"/>
      <c r="H315" s="9"/>
    </row>
    <row r="316" spans="1:8" x14ac:dyDescent="0.2">
      <c r="A316" s="9"/>
      <c r="B316" s="9"/>
      <c r="C316" s="51"/>
      <c r="D316" s="9"/>
      <c r="E316" s="9"/>
      <c r="F316" s="9"/>
      <c r="G316" s="9"/>
    </row>
    <row r="317" spans="1:8" x14ac:dyDescent="0.2">
      <c r="A317" s="9"/>
      <c r="B317" s="9"/>
      <c r="C317" s="51"/>
      <c r="D317" s="9"/>
      <c r="E317" s="9"/>
      <c r="F317" s="9"/>
      <c r="G317" s="9"/>
    </row>
    <row r="318" spans="1:8" hidden="1" x14ac:dyDescent="0.2"/>
    <row r="319" spans="1:8" hidden="1" x14ac:dyDescent="0.2"/>
    <row r="320" spans="1:8" hidden="1" x14ac:dyDescent="0.2"/>
    <row r="321" hidden="1" x14ac:dyDescent="0.2"/>
    <row r="322" hidden="1" x14ac:dyDescent="0.2"/>
    <row r="323" hidden="1" x14ac:dyDescent="0.2"/>
    <row r="324" hidden="1" x14ac:dyDescent="0.2"/>
    <row r="325" hidden="1" x14ac:dyDescent="0.2"/>
    <row r="326" hidden="1" x14ac:dyDescent="0.2"/>
    <row r="327" hidden="1" x14ac:dyDescent="0.2"/>
    <row r="328" hidden="1" x14ac:dyDescent="0.2"/>
    <row r="329" hidden="1" x14ac:dyDescent="0.2"/>
    <row r="330" hidden="1" x14ac:dyDescent="0.2"/>
    <row r="331" hidden="1" x14ac:dyDescent="0.2"/>
    <row r="332" hidden="1" x14ac:dyDescent="0.2"/>
    <row r="333" hidden="1" x14ac:dyDescent="0.2"/>
    <row r="334" hidden="1" x14ac:dyDescent="0.2"/>
    <row r="335" hidden="1" x14ac:dyDescent="0.2"/>
    <row r="336" hidden="1" x14ac:dyDescent="0.2"/>
    <row r="337" hidden="1" x14ac:dyDescent="0.2"/>
    <row r="338" hidden="1" x14ac:dyDescent="0.2"/>
    <row r="339" hidden="1" x14ac:dyDescent="0.2"/>
    <row r="340" hidden="1" x14ac:dyDescent="0.2"/>
    <row r="341" hidden="1" x14ac:dyDescent="0.2"/>
    <row r="342" hidden="1" x14ac:dyDescent="0.2"/>
    <row r="343" hidden="1" x14ac:dyDescent="0.2"/>
    <row r="344" hidden="1" x14ac:dyDescent="0.2"/>
    <row r="345" hidden="1" x14ac:dyDescent="0.2"/>
    <row r="346" hidden="1" x14ac:dyDescent="0.2"/>
    <row r="347" hidden="1" x14ac:dyDescent="0.2"/>
    <row r="348" hidden="1" x14ac:dyDescent="0.2"/>
    <row r="349" hidden="1" x14ac:dyDescent="0.2"/>
    <row r="350" hidden="1" x14ac:dyDescent="0.2"/>
    <row r="351" hidden="1" x14ac:dyDescent="0.2"/>
    <row r="352" hidden="1" x14ac:dyDescent="0.2"/>
    <row r="353" hidden="1" x14ac:dyDescent="0.2"/>
    <row r="354" hidden="1" x14ac:dyDescent="0.2"/>
    <row r="355" hidden="1" x14ac:dyDescent="0.2"/>
    <row r="356" hidden="1" x14ac:dyDescent="0.2"/>
    <row r="357" hidden="1" x14ac:dyDescent="0.2"/>
    <row r="358" hidden="1" x14ac:dyDescent="0.2"/>
    <row r="359" hidden="1" x14ac:dyDescent="0.2"/>
    <row r="360" x14ac:dyDescent="0.2"/>
  </sheetData>
  <mergeCells count="40">
    <mergeCell ref="A229:C229"/>
    <mergeCell ref="D229:D230"/>
    <mergeCell ref="E229:E230"/>
    <mergeCell ref="F229:F230"/>
    <mergeCell ref="G229:G230"/>
    <mergeCell ref="A273:C273"/>
    <mergeCell ref="D273:D274"/>
    <mergeCell ref="E273:E274"/>
    <mergeCell ref="F273:F274"/>
    <mergeCell ref="G273:G274"/>
    <mergeCell ref="A141:C141"/>
    <mergeCell ref="D141:D142"/>
    <mergeCell ref="E141:E142"/>
    <mergeCell ref="F141:F142"/>
    <mergeCell ref="G141:G142"/>
    <mergeCell ref="A185:C185"/>
    <mergeCell ref="D185:D186"/>
    <mergeCell ref="E185:E186"/>
    <mergeCell ref="F185:F186"/>
    <mergeCell ref="G185:G186"/>
    <mergeCell ref="A53:C53"/>
    <mergeCell ref="D53:D54"/>
    <mergeCell ref="E53:E54"/>
    <mergeCell ref="F53:F54"/>
    <mergeCell ref="G53:G54"/>
    <mergeCell ref="A97:C97"/>
    <mergeCell ref="D97:D98"/>
    <mergeCell ref="E97:E98"/>
    <mergeCell ref="F97:F98"/>
    <mergeCell ref="G97:G98"/>
    <mergeCell ref="A1:E1"/>
    <mergeCell ref="A2:E2"/>
    <mergeCell ref="A3:E3"/>
    <mergeCell ref="A4:E4"/>
    <mergeCell ref="A7:G7"/>
    <mergeCell ref="A9:C9"/>
    <mergeCell ref="D9:D10"/>
    <mergeCell ref="E9:E10"/>
    <mergeCell ref="F9:F10"/>
    <mergeCell ref="G9:G10"/>
  </mergeCells>
  <pageMargins left="0.83" right="0.32" top="0.36" bottom="0.44" header="0.24" footer="0.19"/>
  <pageSetup paperSize="9" orientation="portrait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09A8-16BF-42B7-9E03-2614BEC1ED46}">
  <dimension ref="B2:AM38"/>
  <sheetViews>
    <sheetView showGridLines="0" zoomScale="115" zoomScaleNormal="115" workbookViewId="0">
      <selection activeCell="S30" sqref="S30"/>
    </sheetView>
  </sheetViews>
  <sheetFormatPr defaultRowHeight="12.75" x14ac:dyDescent="0.2"/>
  <cols>
    <col min="1" max="1" width="4.140625" customWidth="1"/>
    <col min="3" max="23" width="4.7109375" customWidth="1"/>
    <col min="25" max="25" width="4.28515625" customWidth="1"/>
    <col min="26" max="38" width="6.28515625" customWidth="1"/>
    <col min="39" max="39" width="6.5703125" customWidth="1"/>
  </cols>
  <sheetData>
    <row r="2" spans="2:39" ht="15.75" x14ac:dyDescent="0.25">
      <c r="B2" s="69" t="s">
        <v>1589</v>
      </c>
      <c r="Y2" s="68" t="s">
        <v>1054</v>
      </c>
    </row>
    <row r="3" spans="2:39" ht="15.75" x14ac:dyDescent="0.25">
      <c r="B3" s="62"/>
      <c r="C3" s="59"/>
      <c r="D3" s="59"/>
      <c r="E3" s="59"/>
      <c r="F3" s="59"/>
      <c r="G3" s="59"/>
      <c r="H3" s="59"/>
      <c r="I3" s="59"/>
      <c r="J3" s="61"/>
      <c r="K3" s="61"/>
      <c r="L3" s="61"/>
      <c r="M3" s="61"/>
      <c r="N3" s="61"/>
      <c r="O3" s="61"/>
      <c r="P3" s="61"/>
      <c r="Q3" s="60"/>
      <c r="R3" s="60"/>
      <c r="S3" s="60"/>
      <c r="T3" s="60"/>
      <c r="U3" s="60"/>
      <c r="V3" s="60"/>
      <c r="W3" s="60"/>
      <c r="Y3" s="69" t="s">
        <v>1072</v>
      </c>
    </row>
    <row r="4" spans="2:39" x14ac:dyDescent="0.2">
      <c r="B4" s="55"/>
      <c r="C4" s="55" t="s">
        <v>534</v>
      </c>
      <c r="D4" s="55" t="s">
        <v>535</v>
      </c>
      <c r="E4" s="55" t="s">
        <v>536</v>
      </c>
      <c r="F4" s="55" t="s">
        <v>537</v>
      </c>
      <c r="G4" s="55" t="s">
        <v>538</v>
      </c>
      <c r="H4" s="55" t="s">
        <v>539</v>
      </c>
      <c r="I4" s="55" t="s">
        <v>540</v>
      </c>
      <c r="J4" s="55" t="s">
        <v>520</v>
      </c>
      <c r="K4" s="55" t="s">
        <v>521</v>
      </c>
      <c r="L4" s="55" t="s">
        <v>522</v>
      </c>
      <c r="M4" s="55" t="s">
        <v>523</v>
      </c>
      <c r="N4" s="55" t="s">
        <v>524</v>
      </c>
      <c r="O4" s="55" t="s">
        <v>525</v>
      </c>
      <c r="P4" s="55" t="s">
        <v>526</v>
      </c>
      <c r="Q4" s="55" t="s">
        <v>527</v>
      </c>
      <c r="R4" s="55" t="s">
        <v>528</v>
      </c>
      <c r="S4" s="55" t="s">
        <v>532</v>
      </c>
      <c r="T4" s="55" t="s">
        <v>529</v>
      </c>
      <c r="U4" s="55" t="s">
        <v>530</v>
      </c>
      <c r="V4" s="55" t="s">
        <v>531</v>
      </c>
      <c r="W4" s="55" t="s">
        <v>533</v>
      </c>
      <c r="Y4" s="55" t="s">
        <v>1041</v>
      </c>
      <c r="Z4" s="66" t="s">
        <v>520</v>
      </c>
      <c r="AA4" s="66" t="s">
        <v>521</v>
      </c>
      <c r="AB4" s="66" t="s">
        <v>522</v>
      </c>
      <c r="AC4" s="66" t="s">
        <v>523</v>
      </c>
      <c r="AD4" s="66" t="s">
        <v>524</v>
      </c>
      <c r="AE4" s="66" t="s">
        <v>525</v>
      </c>
      <c r="AF4" s="66" t="s">
        <v>526</v>
      </c>
      <c r="AG4" s="67" t="s">
        <v>527</v>
      </c>
      <c r="AH4" s="67" t="s">
        <v>528</v>
      </c>
      <c r="AI4" s="67" t="s">
        <v>532</v>
      </c>
      <c r="AJ4" s="67" t="s">
        <v>529</v>
      </c>
      <c r="AK4" s="67" t="s">
        <v>530</v>
      </c>
      <c r="AL4" s="67" t="s">
        <v>531</v>
      </c>
      <c r="AM4" s="67" t="s">
        <v>533</v>
      </c>
    </row>
    <row r="5" spans="2:39" x14ac:dyDescent="0.2">
      <c r="B5" s="53" t="s">
        <v>5</v>
      </c>
      <c r="C5" s="56">
        <f>'10'!B47</f>
        <v>10</v>
      </c>
      <c r="D5" s="56">
        <f>'10'!B91</f>
        <v>10</v>
      </c>
      <c r="E5" s="56">
        <f>'10'!B135</f>
        <v>12</v>
      </c>
      <c r="F5" s="56">
        <f>'10'!B179</f>
        <v>12</v>
      </c>
      <c r="G5" s="56">
        <f>'10'!B223</f>
        <v>12</v>
      </c>
      <c r="H5" s="56">
        <f>'10'!B267</f>
        <v>12</v>
      </c>
      <c r="I5" s="56">
        <f>'10'!B311</f>
        <v>12</v>
      </c>
      <c r="J5" s="56">
        <f>'11'!B47</f>
        <v>8</v>
      </c>
      <c r="K5" s="56">
        <f>'11'!B91</f>
        <v>10</v>
      </c>
      <c r="L5" s="56">
        <f>'11'!B135</f>
        <v>20</v>
      </c>
      <c r="M5" s="56">
        <f>'11'!B179</f>
        <v>6</v>
      </c>
      <c r="N5" s="56">
        <f>'11'!B223</f>
        <v>5</v>
      </c>
      <c r="O5" s="56">
        <f>'11'!B267</f>
        <v>18</v>
      </c>
      <c r="P5" s="56">
        <f>'11'!B311</f>
        <v>18</v>
      </c>
      <c r="Q5" s="56">
        <f>'12'!B47</f>
        <v>11</v>
      </c>
      <c r="R5" s="56">
        <f>'12'!B91</f>
        <v>10</v>
      </c>
      <c r="S5" s="56">
        <f>'12'!B135</f>
        <v>4</v>
      </c>
      <c r="T5" s="56">
        <f>'12'!B179</f>
        <v>8</v>
      </c>
      <c r="U5" s="56">
        <f>'12'!B223</f>
        <v>10</v>
      </c>
      <c r="V5" s="56">
        <f>'12'!B267</f>
        <v>17</v>
      </c>
      <c r="W5" s="56">
        <f>'12'!B311</f>
        <v>19</v>
      </c>
      <c r="Y5" s="65">
        <v>1</v>
      </c>
      <c r="Z5" s="65" t="s">
        <v>1042</v>
      </c>
      <c r="AA5" s="65" t="s">
        <v>1045</v>
      </c>
      <c r="AB5" s="65" t="s">
        <v>1045</v>
      </c>
      <c r="AC5" s="65" t="s">
        <v>1043</v>
      </c>
      <c r="AD5" s="65" t="s">
        <v>1048</v>
      </c>
      <c r="AE5" s="65" t="s">
        <v>1048</v>
      </c>
      <c r="AF5" s="65" t="s">
        <v>1048</v>
      </c>
      <c r="AG5" s="65" t="s">
        <v>1042</v>
      </c>
      <c r="AH5" s="65" t="s">
        <v>1042</v>
      </c>
      <c r="AI5" s="65" t="s">
        <v>1042</v>
      </c>
      <c r="AJ5" s="65" t="s">
        <v>1048</v>
      </c>
      <c r="AK5" s="65" t="s">
        <v>1048</v>
      </c>
      <c r="AL5" s="65" t="s">
        <v>1048</v>
      </c>
      <c r="AM5" s="65" t="s">
        <v>1047</v>
      </c>
    </row>
    <row r="6" spans="2:39" x14ac:dyDescent="0.2">
      <c r="B6" s="53" t="s">
        <v>6</v>
      </c>
      <c r="C6" s="56">
        <f>'10'!B48</f>
        <v>26</v>
      </c>
      <c r="D6" s="56">
        <f>'10'!B92</f>
        <v>26</v>
      </c>
      <c r="E6" s="56">
        <f>'10'!B136</f>
        <v>24</v>
      </c>
      <c r="F6" s="56">
        <f>'10'!B180</f>
        <v>23</v>
      </c>
      <c r="G6" s="56">
        <f>'10'!B224</f>
        <v>24</v>
      </c>
      <c r="H6" s="56">
        <f>'10'!B268</f>
        <v>24</v>
      </c>
      <c r="I6" s="56">
        <f>'10'!B312</f>
        <v>24</v>
      </c>
      <c r="J6" s="56">
        <f>'11'!B48</f>
        <v>28</v>
      </c>
      <c r="K6" s="56">
        <f>'11'!B92</f>
        <v>26</v>
      </c>
      <c r="L6" s="56">
        <f>'11'!B136</f>
        <v>16</v>
      </c>
      <c r="M6" s="56">
        <f>'11'!B180</f>
        <v>30</v>
      </c>
      <c r="N6" s="56">
        <f>'11'!B224</f>
        <v>31</v>
      </c>
      <c r="O6" s="56">
        <f>'11'!B268</f>
        <v>17</v>
      </c>
      <c r="P6" s="56">
        <f>'11'!B312</f>
        <v>18</v>
      </c>
      <c r="Q6" s="56">
        <f>'12'!B48</f>
        <v>25</v>
      </c>
      <c r="R6" s="56">
        <f>'12'!B92</f>
        <v>26</v>
      </c>
      <c r="S6" s="56">
        <f>'12'!B136</f>
        <v>32</v>
      </c>
      <c r="T6" s="56">
        <f>'12'!B180</f>
        <v>28</v>
      </c>
      <c r="U6" s="56">
        <f>'12'!B224</f>
        <v>26</v>
      </c>
      <c r="V6" s="56">
        <f>'12'!B268</f>
        <v>19</v>
      </c>
      <c r="W6" s="56">
        <f>'12'!B312</f>
        <v>13</v>
      </c>
      <c r="Y6" s="65">
        <v>2</v>
      </c>
      <c r="Z6" s="65" t="s">
        <v>1044</v>
      </c>
      <c r="AA6" s="65" t="s">
        <v>1043</v>
      </c>
      <c r="AB6" s="65" t="s">
        <v>1043</v>
      </c>
      <c r="AC6" s="65" t="s">
        <v>1044</v>
      </c>
      <c r="AD6" s="65" t="s">
        <v>1047</v>
      </c>
      <c r="AE6" s="65" t="s">
        <v>1047</v>
      </c>
      <c r="AF6" s="65" t="s">
        <v>1049</v>
      </c>
      <c r="AG6" s="65" t="s">
        <v>1043</v>
      </c>
      <c r="AH6" s="65" t="s">
        <v>1043</v>
      </c>
      <c r="AI6" s="65" t="s">
        <v>1043</v>
      </c>
      <c r="AJ6" s="65" t="s">
        <v>1049</v>
      </c>
      <c r="AK6" s="65" t="s">
        <v>1049</v>
      </c>
      <c r="AL6" s="65" t="s">
        <v>1049</v>
      </c>
      <c r="AM6" s="65" t="s">
        <v>1052</v>
      </c>
    </row>
    <row r="7" spans="2:39" ht="14.25" x14ac:dyDescent="0.2">
      <c r="B7" s="52" t="s">
        <v>11</v>
      </c>
      <c r="C7" s="57">
        <f>'10'!E47</f>
        <v>23</v>
      </c>
      <c r="D7" s="57">
        <f>'10'!E91</f>
        <v>21</v>
      </c>
      <c r="E7" s="57">
        <f>'10'!E135</f>
        <v>36</v>
      </c>
      <c r="F7" s="57">
        <f>'10'!E179</f>
        <v>35</v>
      </c>
      <c r="G7" s="57">
        <f>'10'!E223</f>
        <v>36</v>
      </c>
      <c r="H7" s="57">
        <f>'10'!E267</f>
        <v>36</v>
      </c>
      <c r="I7" s="57">
        <f>'10'!E311</f>
        <v>36</v>
      </c>
      <c r="J7" s="63">
        <f>'11'!E47</f>
        <v>34</v>
      </c>
      <c r="K7" s="57">
        <f>'11'!E91</f>
        <v>34</v>
      </c>
      <c r="L7" s="57">
        <f>'11'!E135</f>
        <v>30</v>
      </c>
      <c r="M7" s="63">
        <f>'11'!E179</f>
        <v>32</v>
      </c>
      <c r="N7" s="63">
        <f>'11'!E223</f>
        <v>29</v>
      </c>
      <c r="O7" s="63">
        <f>'11'!E267</f>
        <v>32</v>
      </c>
      <c r="P7" s="57">
        <f>'11'!E311</f>
        <v>34</v>
      </c>
      <c r="Q7" s="57">
        <f>'12'!E47</f>
        <v>33</v>
      </c>
      <c r="R7" s="57">
        <f>'12'!E91</f>
        <v>34</v>
      </c>
      <c r="S7" s="57">
        <f>'12'!E135</f>
        <v>36</v>
      </c>
      <c r="T7" s="63">
        <f>'12'!E179</f>
        <v>23</v>
      </c>
      <c r="U7" s="57">
        <f>'12'!E223</f>
        <v>33</v>
      </c>
      <c r="V7" s="57">
        <f>'12'!E267</f>
        <v>35</v>
      </c>
      <c r="W7" s="63">
        <f>'12'!E311</f>
        <v>27</v>
      </c>
      <c r="Y7" s="65">
        <v>3</v>
      </c>
      <c r="Z7" s="65" t="s">
        <v>1050</v>
      </c>
      <c r="AA7" s="65" t="s">
        <v>1044</v>
      </c>
      <c r="AB7" s="65" t="s">
        <v>1053</v>
      </c>
      <c r="AC7" s="65" t="s">
        <v>1042</v>
      </c>
      <c r="AD7" s="65" t="s">
        <v>1049</v>
      </c>
      <c r="AE7" s="65" t="s">
        <v>1050</v>
      </c>
      <c r="AF7" s="65" t="s">
        <v>1042</v>
      </c>
      <c r="AG7" s="65" t="s">
        <v>1044</v>
      </c>
      <c r="AH7" s="65" t="s">
        <v>1044</v>
      </c>
      <c r="AI7" s="65" t="s">
        <v>1044</v>
      </c>
      <c r="AJ7" s="65" t="s">
        <v>1047</v>
      </c>
      <c r="AK7" s="65" t="s">
        <v>1047</v>
      </c>
      <c r="AL7" s="65" t="s">
        <v>1047</v>
      </c>
      <c r="AM7" s="65" t="s">
        <v>1051</v>
      </c>
    </row>
    <row r="8" spans="2:39" ht="14.25" x14ac:dyDescent="0.2">
      <c r="B8" s="52" t="s">
        <v>49</v>
      </c>
      <c r="C8" s="57">
        <f>'10'!E48</f>
        <v>13</v>
      </c>
      <c r="D8" s="57">
        <f>'10'!E92</f>
        <v>0</v>
      </c>
      <c r="E8" s="72">
        <f>'10'!E136</f>
        <v>0</v>
      </c>
      <c r="F8" s="72">
        <f>'10'!E180</f>
        <v>0</v>
      </c>
      <c r="G8" s="72">
        <f>'10'!E224</f>
        <v>0</v>
      </c>
      <c r="H8" s="72">
        <f>'10'!E268</f>
        <v>0</v>
      </c>
      <c r="I8" s="72">
        <f>'10'!E312</f>
        <v>0</v>
      </c>
      <c r="J8" s="63">
        <f>'11'!E48</f>
        <v>1</v>
      </c>
      <c r="K8" s="57">
        <f>'11'!E92</f>
        <v>2</v>
      </c>
      <c r="L8" s="57">
        <f>'11'!E136</f>
        <v>3</v>
      </c>
      <c r="M8" s="63">
        <f>'11'!E180</f>
        <v>3</v>
      </c>
      <c r="N8" s="63">
        <f>'11'!E224</f>
        <v>4</v>
      </c>
      <c r="O8" s="63">
        <f>'11'!E268</f>
        <v>1</v>
      </c>
      <c r="P8" s="57">
        <f>'11'!E312</f>
        <v>0</v>
      </c>
      <c r="Q8" s="57">
        <f>'12'!E48</f>
        <v>0</v>
      </c>
      <c r="R8" s="57">
        <f>'12'!E92</f>
        <v>1</v>
      </c>
      <c r="S8" s="57">
        <f>'12'!E136</f>
        <v>0</v>
      </c>
      <c r="T8" s="63">
        <f>'12'!E180</f>
        <v>6</v>
      </c>
      <c r="U8" s="57">
        <f>'12'!E224</f>
        <v>3</v>
      </c>
      <c r="V8" s="57">
        <f>'12'!E268</f>
        <v>1</v>
      </c>
      <c r="W8" s="63">
        <f>'12'!E312</f>
        <v>3</v>
      </c>
      <c r="Y8" s="65">
        <v>4</v>
      </c>
      <c r="Z8" s="65" t="s">
        <v>1049</v>
      </c>
      <c r="AA8" s="65" t="s">
        <v>1042</v>
      </c>
      <c r="AB8" s="65" t="s">
        <v>1046</v>
      </c>
      <c r="AC8" s="65" t="s">
        <v>1052</v>
      </c>
      <c r="AD8" s="65" t="s">
        <v>1073</v>
      </c>
      <c r="AE8" s="65" t="s">
        <v>1051</v>
      </c>
      <c r="AF8" s="65" t="s">
        <v>1051</v>
      </c>
      <c r="AG8" s="65" t="s">
        <v>1045</v>
      </c>
      <c r="AH8" s="65" t="s">
        <v>1046</v>
      </c>
      <c r="AI8" s="65" t="s">
        <v>1047</v>
      </c>
      <c r="AJ8" s="65" t="s">
        <v>1046</v>
      </c>
      <c r="AK8" s="65" t="s">
        <v>1050</v>
      </c>
      <c r="AL8" s="65" t="s">
        <v>1051</v>
      </c>
      <c r="AM8" s="65" t="s">
        <v>1050</v>
      </c>
    </row>
    <row r="9" spans="2:39" ht="14.25" x14ac:dyDescent="0.2">
      <c r="B9" s="52" t="s">
        <v>12</v>
      </c>
      <c r="C9" s="57">
        <f>'10'!E49</f>
        <v>0</v>
      </c>
      <c r="D9" s="57">
        <f>'10'!E93</f>
        <v>15</v>
      </c>
      <c r="E9" s="72">
        <f>'10'!E137</f>
        <v>0</v>
      </c>
      <c r="F9" s="72">
        <f>'10'!E181</f>
        <v>0</v>
      </c>
      <c r="G9" s="72">
        <f>'10'!E225</f>
        <v>0</v>
      </c>
      <c r="H9" s="72">
        <f>'10'!E269</f>
        <v>0</v>
      </c>
      <c r="I9" s="72">
        <f>'10'!E313</f>
        <v>0</v>
      </c>
      <c r="J9" s="63">
        <f>'11'!E49</f>
        <v>1</v>
      </c>
      <c r="K9" s="57">
        <f>'11'!E93</f>
        <v>0</v>
      </c>
      <c r="L9" s="57">
        <f>'11'!E137</f>
        <v>3</v>
      </c>
      <c r="M9" s="63">
        <f>'11'!E181</f>
        <v>1</v>
      </c>
      <c r="N9" s="63">
        <f>'11'!E225</f>
        <v>3</v>
      </c>
      <c r="O9" s="63">
        <f>'11'!E269</f>
        <v>2</v>
      </c>
      <c r="P9" s="57">
        <f>'11'!E313</f>
        <v>2</v>
      </c>
      <c r="Q9" s="57">
        <f>'12'!E49</f>
        <v>3</v>
      </c>
      <c r="R9" s="57">
        <f>'12'!E93</f>
        <v>1</v>
      </c>
      <c r="S9" s="57">
        <f>'12'!E137</f>
        <v>0</v>
      </c>
      <c r="T9" s="63">
        <f>'12'!E181</f>
        <v>7</v>
      </c>
      <c r="U9" s="57">
        <f>'12'!E225</f>
        <v>0</v>
      </c>
      <c r="V9" s="57">
        <f>'12'!E269</f>
        <v>0</v>
      </c>
      <c r="W9" s="63">
        <f>'12'!E313</f>
        <v>2</v>
      </c>
      <c r="Y9" s="65">
        <v>5</v>
      </c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</row>
    <row r="10" spans="2:39" ht="14.25" x14ac:dyDescent="0.2">
      <c r="B10" s="54" t="s">
        <v>13</v>
      </c>
      <c r="C10" s="58">
        <f>'10'!E50</f>
        <v>19</v>
      </c>
      <c r="D10" s="58">
        <f>'10'!E94</f>
        <v>19</v>
      </c>
      <c r="E10" s="72">
        <f>'10'!E138</f>
        <v>0</v>
      </c>
      <c r="F10" s="72">
        <f>'10'!E182</f>
        <v>0</v>
      </c>
      <c r="G10" s="58">
        <f>'10'!E226</f>
        <v>36</v>
      </c>
      <c r="H10" s="58">
        <f>'10'!E270</f>
        <v>36</v>
      </c>
      <c r="I10" s="58">
        <f>'10'!E314</f>
        <v>36</v>
      </c>
      <c r="J10" s="58">
        <f>'11'!E50</f>
        <v>25</v>
      </c>
      <c r="K10" s="58">
        <f>'11'!E94</f>
        <v>26</v>
      </c>
      <c r="L10" s="72">
        <f>'11'!E138</f>
        <v>16</v>
      </c>
      <c r="M10" s="58">
        <f>'11'!E182</f>
        <v>23</v>
      </c>
      <c r="N10" s="58">
        <f>'11'!E226</f>
        <v>28</v>
      </c>
      <c r="O10" s="72">
        <f>'11'!E270</f>
        <v>20</v>
      </c>
      <c r="P10" s="58">
        <f>'11'!E314</f>
        <v>26</v>
      </c>
      <c r="Q10" s="58">
        <f>'12'!E50</f>
        <v>27</v>
      </c>
      <c r="R10" s="64">
        <f>'12'!E94</f>
        <v>20</v>
      </c>
      <c r="S10" s="58">
        <f>'12'!E138</f>
        <v>26</v>
      </c>
      <c r="T10" s="58">
        <f>'12'!E182</f>
        <v>31</v>
      </c>
      <c r="U10" s="64">
        <f>'12'!E226</f>
        <v>15</v>
      </c>
      <c r="V10" s="58">
        <f>'12'!E270</f>
        <v>24</v>
      </c>
      <c r="W10" s="58">
        <f>'12'!E314</f>
        <v>21</v>
      </c>
    </row>
    <row r="11" spans="2:39" ht="14.25" x14ac:dyDescent="0.2">
      <c r="B11" s="54" t="s">
        <v>14</v>
      </c>
      <c r="C11" s="58">
        <f>'10'!E51</f>
        <v>17</v>
      </c>
      <c r="D11" s="58">
        <f>'10'!E95</f>
        <v>17</v>
      </c>
      <c r="E11" s="58">
        <f>'10'!E139</f>
        <v>36</v>
      </c>
      <c r="F11" s="58">
        <f>'10'!E183</f>
        <v>35</v>
      </c>
      <c r="G11" s="72">
        <f>'10'!E227</f>
        <v>0</v>
      </c>
      <c r="H11" s="72">
        <f>'10'!E271</f>
        <v>0</v>
      </c>
      <c r="I11" s="72">
        <f>'10'!E315</f>
        <v>0</v>
      </c>
      <c r="J11" s="58">
        <f>'11'!E51</f>
        <v>11</v>
      </c>
      <c r="K11" s="58">
        <f>'11'!E95</f>
        <v>10</v>
      </c>
      <c r="L11" s="72">
        <f>'11'!E139</f>
        <v>20</v>
      </c>
      <c r="M11" s="58">
        <f>'11'!E183</f>
        <v>13</v>
      </c>
      <c r="N11" s="58">
        <f>'11'!E227</f>
        <v>8</v>
      </c>
      <c r="O11" s="72">
        <f>'11'!E271</f>
        <v>15</v>
      </c>
      <c r="P11" s="58">
        <f>'11'!E315</f>
        <v>10</v>
      </c>
      <c r="Q11" s="58">
        <f>'12'!E51</f>
        <v>9</v>
      </c>
      <c r="R11" s="64">
        <f>'12'!E95</f>
        <v>16</v>
      </c>
      <c r="S11" s="58">
        <f>'12'!E139</f>
        <v>10</v>
      </c>
      <c r="T11" s="58">
        <f>'12'!E183</f>
        <v>5</v>
      </c>
      <c r="U11" s="64">
        <f>'12'!E227</f>
        <v>21</v>
      </c>
      <c r="V11" s="58">
        <f>'12'!E271</f>
        <v>12</v>
      </c>
      <c r="W11" s="58">
        <f>'12'!E315</f>
        <v>11</v>
      </c>
      <c r="Y11" s="52" t="s">
        <v>11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</row>
    <row r="12" spans="2:39" ht="14.25" x14ac:dyDescent="0.2">
      <c r="Y12" s="52" t="s">
        <v>49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H12">
        <v>1</v>
      </c>
      <c r="AJ12">
        <v>1</v>
      </c>
      <c r="AK12">
        <v>1</v>
      </c>
      <c r="AL12">
        <v>1</v>
      </c>
      <c r="AM12">
        <v>1</v>
      </c>
    </row>
    <row r="13" spans="2:39" ht="14.25" x14ac:dyDescent="0.2">
      <c r="B13" s="71" t="s">
        <v>1055</v>
      </c>
      <c r="C13" s="70">
        <v>1</v>
      </c>
      <c r="D13" s="70">
        <v>1</v>
      </c>
      <c r="E13" s="70">
        <v>1</v>
      </c>
      <c r="F13" s="70">
        <v>1</v>
      </c>
      <c r="G13" s="70">
        <v>1</v>
      </c>
      <c r="H13" s="70">
        <v>1</v>
      </c>
      <c r="I13" s="70">
        <v>1</v>
      </c>
      <c r="J13" s="70"/>
      <c r="K13" s="70"/>
      <c r="L13" s="70"/>
      <c r="M13" s="70"/>
      <c r="N13" s="70"/>
      <c r="O13" s="70"/>
      <c r="P13" s="70"/>
      <c r="Q13" s="57"/>
      <c r="R13" s="57"/>
      <c r="S13" s="57"/>
      <c r="T13" s="57"/>
      <c r="U13" s="57"/>
      <c r="V13" s="57"/>
      <c r="W13" s="57"/>
      <c r="Y13" s="52" t="s">
        <v>12</v>
      </c>
      <c r="Z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J13">
        <v>1</v>
      </c>
      <c r="AM13">
        <v>1</v>
      </c>
    </row>
    <row r="14" spans="2:39" x14ac:dyDescent="0.2">
      <c r="C14" s="77" t="s">
        <v>1618</v>
      </c>
      <c r="D14" s="76" t="s">
        <v>1590</v>
      </c>
      <c r="E14" s="76" t="s">
        <v>1593</v>
      </c>
      <c r="F14" s="76" t="s">
        <v>1593</v>
      </c>
      <c r="G14" s="76" t="s">
        <v>1596</v>
      </c>
      <c r="H14" s="76" t="s">
        <v>1596</v>
      </c>
      <c r="I14" s="76" t="s">
        <v>1597</v>
      </c>
      <c r="J14" s="76" t="s">
        <v>1609</v>
      </c>
      <c r="K14" s="76" t="s">
        <v>1598</v>
      </c>
      <c r="L14" s="76" t="s">
        <v>1599</v>
      </c>
      <c r="M14" s="76" t="s">
        <v>1601</v>
      </c>
      <c r="N14" s="76" t="s">
        <v>1599</v>
      </c>
      <c r="O14" s="77" t="s">
        <v>1618</v>
      </c>
      <c r="P14" s="76" t="s">
        <v>1604</v>
      </c>
      <c r="Q14" s="76" t="s">
        <v>1605</v>
      </c>
      <c r="R14" t="s">
        <v>1611</v>
      </c>
      <c r="S14" s="76" t="s">
        <v>1601</v>
      </c>
      <c r="T14" s="76" t="s">
        <v>1609</v>
      </c>
      <c r="U14" s="76" t="s">
        <v>1609</v>
      </c>
      <c r="V14" s="75" t="s">
        <v>1604</v>
      </c>
      <c r="W14" s="75" t="s">
        <v>1604</v>
      </c>
    </row>
    <row r="15" spans="2:39" ht="6" customHeight="1" x14ac:dyDescent="0.2"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76"/>
      <c r="R15" s="85"/>
      <c r="S15" s="85"/>
      <c r="T15" s="85"/>
      <c r="U15" s="85"/>
      <c r="V15" s="85"/>
      <c r="W15" s="85"/>
    </row>
    <row r="16" spans="2:39" ht="16.5" customHeight="1" x14ac:dyDescent="0.2">
      <c r="B16" s="74" t="s">
        <v>1591</v>
      </c>
      <c r="C16" s="76" t="s">
        <v>1592</v>
      </c>
      <c r="D16" s="76" t="s">
        <v>1590</v>
      </c>
      <c r="E16" s="76" t="s">
        <v>1593</v>
      </c>
      <c r="F16" s="76" t="s">
        <v>1594</v>
      </c>
      <c r="G16" s="76" t="s">
        <v>1595</v>
      </c>
      <c r="H16" s="76" t="s">
        <v>1596</v>
      </c>
      <c r="I16" s="76" t="s">
        <v>1597</v>
      </c>
      <c r="J16" s="76" t="s">
        <v>1609</v>
      </c>
      <c r="K16" s="76" t="s">
        <v>1598</v>
      </c>
      <c r="L16" s="76" t="s">
        <v>1599</v>
      </c>
      <c r="M16" s="76" t="s">
        <v>1601</v>
      </c>
      <c r="N16" s="76" t="s">
        <v>1602</v>
      </c>
      <c r="O16" s="76" t="s">
        <v>1603</v>
      </c>
      <c r="P16" s="76" t="s">
        <v>1604</v>
      </c>
      <c r="Q16" s="76" t="s">
        <v>1600</v>
      </c>
      <c r="R16" s="76" t="s">
        <v>1605</v>
      </c>
      <c r="S16" s="76" t="s">
        <v>1607</v>
      </c>
      <c r="T16" s="76" t="s">
        <v>1608</v>
      </c>
      <c r="U16" s="76" t="s">
        <v>1606</v>
      </c>
      <c r="V16" s="76" t="s">
        <v>1610</v>
      </c>
      <c r="W16" s="76" t="s">
        <v>1611</v>
      </c>
    </row>
    <row r="17" spans="2:39" x14ac:dyDescent="0.2">
      <c r="C17" s="59"/>
      <c r="D17" s="59"/>
      <c r="E17" s="59"/>
      <c r="F17" s="59"/>
      <c r="G17" s="59"/>
      <c r="H17" s="59"/>
      <c r="I17" s="59"/>
      <c r="J17" s="61"/>
      <c r="K17" s="61"/>
      <c r="L17" s="61"/>
      <c r="M17" s="61"/>
      <c r="N17" s="61"/>
      <c r="O17" s="61"/>
      <c r="P17" s="61"/>
      <c r="Q17" s="60"/>
      <c r="R17" s="60"/>
      <c r="S17" s="60"/>
      <c r="T17" s="60"/>
      <c r="U17" s="60"/>
      <c r="V17" s="60"/>
      <c r="W17" s="60"/>
    </row>
    <row r="18" spans="2:39" x14ac:dyDescent="0.2">
      <c r="C18" t="s">
        <v>1592</v>
      </c>
      <c r="D18" t="s">
        <v>1590</v>
      </c>
      <c r="E18" t="s">
        <v>1593</v>
      </c>
      <c r="F18" t="s">
        <v>1594</v>
      </c>
      <c r="G18" t="s">
        <v>1595</v>
      </c>
      <c r="H18" t="s">
        <v>1596</v>
      </c>
      <c r="I18" t="s">
        <v>1597</v>
      </c>
      <c r="J18" s="76" t="s">
        <v>1609</v>
      </c>
      <c r="K18" s="76" t="s">
        <v>1598</v>
      </c>
      <c r="L18" s="76" t="s">
        <v>1599</v>
      </c>
      <c r="M18" s="75" t="s">
        <v>1614</v>
      </c>
      <c r="N18" s="75" t="s">
        <v>1603</v>
      </c>
      <c r="O18" s="77" t="s">
        <v>1618</v>
      </c>
      <c r="P18" s="75" t="s">
        <v>1601</v>
      </c>
      <c r="Q18" s="76" t="s">
        <v>1600</v>
      </c>
      <c r="R18" t="s">
        <v>1611</v>
      </c>
      <c r="S18" s="76" t="s">
        <v>1607</v>
      </c>
      <c r="T18" s="76" t="s">
        <v>1608</v>
      </c>
      <c r="U18" s="76" t="s">
        <v>1606</v>
      </c>
      <c r="V18" s="75" t="s">
        <v>1602</v>
      </c>
      <c r="W18" s="76" t="s">
        <v>1604</v>
      </c>
    </row>
    <row r="19" spans="2:39" x14ac:dyDescent="0.2">
      <c r="B19" s="9" t="s">
        <v>1056</v>
      </c>
    </row>
    <row r="20" spans="2:39" x14ac:dyDescent="0.2">
      <c r="B20" s="9" t="s">
        <v>1062</v>
      </c>
      <c r="C20" s="9" t="s">
        <v>1063</v>
      </c>
      <c r="D20" s="9" t="s">
        <v>1064</v>
      </c>
      <c r="E20" s="9" t="s">
        <v>1066</v>
      </c>
      <c r="F20" s="9" t="s">
        <v>1067</v>
      </c>
      <c r="G20" s="9" t="s">
        <v>1068</v>
      </c>
      <c r="H20" s="9" t="s">
        <v>1065</v>
      </c>
      <c r="I20" s="9" t="s">
        <v>1069</v>
      </c>
    </row>
    <row r="21" spans="2:39" x14ac:dyDescent="0.2">
      <c r="B21" s="9" t="s">
        <v>1057</v>
      </c>
      <c r="C21">
        <v>10</v>
      </c>
      <c r="I21">
        <f>SUM(D21:H21)</f>
        <v>0</v>
      </c>
    </row>
    <row r="22" spans="2:39" x14ac:dyDescent="0.2">
      <c r="B22" s="9" t="s">
        <v>1058</v>
      </c>
      <c r="C22">
        <v>10</v>
      </c>
      <c r="I22">
        <f t="shared" ref="I22:I25" si="0">SUM(D22:H22)</f>
        <v>0</v>
      </c>
    </row>
    <row r="23" spans="2:39" x14ac:dyDescent="0.2">
      <c r="B23" s="9" t="s">
        <v>1059</v>
      </c>
      <c r="C23">
        <v>10</v>
      </c>
      <c r="I23">
        <f t="shared" si="0"/>
        <v>0</v>
      </c>
    </row>
    <row r="24" spans="2:39" x14ac:dyDescent="0.2">
      <c r="B24" s="9" t="s">
        <v>1060</v>
      </c>
      <c r="C24">
        <v>10</v>
      </c>
      <c r="I24">
        <f t="shared" si="0"/>
        <v>0</v>
      </c>
      <c r="AG24" s="78" t="s">
        <v>1054</v>
      </c>
    </row>
    <row r="25" spans="2:39" x14ac:dyDescent="0.2">
      <c r="B25" s="9" t="s">
        <v>1061</v>
      </c>
      <c r="C25">
        <v>8</v>
      </c>
      <c r="I25">
        <f t="shared" si="0"/>
        <v>0</v>
      </c>
      <c r="AG25" s="79" t="s">
        <v>1616</v>
      </c>
    </row>
    <row r="26" spans="2:39" x14ac:dyDescent="0.2">
      <c r="AG26" s="67" t="s">
        <v>527</v>
      </c>
      <c r="AH26" s="67" t="s">
        <v>528</v>
      </c>
      <c r="AI26" s="67" t="s">
        <v>532</v>
      </c>
      <c r="AJ26" s="67" t="s">
        <v>529</v>
      </c>
      <c r="AK26" s="67" t="s">
        <v>530</v>
      </c>
      <c r="AL26" s="67" t="s">
        <v>531</v>
      </c>
      <c r="AM26" s="67" t="s">
        <v>533</v>
      </c>
    </row>
    <row r="27" spans="2:39" x14ac:dyDescent="0.2">
      <c r="AG27" s="65" t="s">
        <v>1042</v>
      </c>
      <c r="AH27" s="65" t="s">
        <v>1042</v>
      </c>
      <c r="AI27" s="65" t="s">
        <v>1047</v>
      </c>
      <c r="AJ27" s="65" t="s">
        <v>1052</v>
      </c>
      <c r="AK27" s="65" t="s">
        <v>1052</v>
      </c>
      <c r="AL27" s="65" t="s">
        <v>1052</v>
      </c>
      <c r="AM27" s="65" t="s">
        <v>1045</v>
      </c>
    </row>
    <row r="28" spans="2:39" x14ac:dyDescent="0.2">
      <c r="AG28" s="65" t="s">
        <v>1044</v>
      </c>
      <c r="AH28" s="65" t="s">
        <v>1044</v>
      </c>
      <c r="AI28" s="65" t="s">
        <v>1044</v>
      </c>
      <c r="AJ28" s="65" t="s">
        <v>1050</v>
      </c>
      <c r="AK28" s="65" t="s">
        <v>1049</v>
      </c>
      <c r="AL28" s="65" t="s">
        <v>1049</v>
      </c>
      <c r="AM28" s="65" t="s">
        <v>1050</v>
      </c>
    </row>
    <row r="29" spans="2:39" x14ac:dyDescent="0.2">
      <c r="AG29" s="65" t="s">
        <v>1049</v>
      </c>
      <c r="AH29" s="65" t="s">
        <v>1049</v>
      </c>
      <c r="AI29" s="65" t="s">
        <v>1053</v>
      </c>
      <c r="AJ29" s="65" t="s">
        <v>1043</v>
      </c>
      <c r="AK29" s="65" t="s">
        <v>1048</v>
      </c>
      <c r="AL29" s="65" t="s">
        <v>1048</v>
      </c>
      <c r="AM29" s="65" t="s">
        <v>1047</v>
      </c>
    </row>
    <row r="30" spans="2:39" x14ac:dyDescent="0.2">
      <c r="AG30" s="65" t="s">
        <v>1046</v>
      </c>
      <c r="AH30" s="65" t="s">
        <v>1046</v>
      </c>
      <c r="AI30" s="65" t="s">
        <v>1051</v>
      </c>
      <c r="AJ30" s="65" t="s">
        <v>1042</v>
      </c>
      <c r="AK30" s="65" t="s">
        <v>1043</v>
      </c>
      <c r="AL30" s="65" t="s">
        <v>1043</v>
      </c>
      <c r="AM30" s="65" t="s">
        <v>1051</v>
      </c>
    </row>
    <row r="31" spans="2:39" x14ac:dyDescent="0.2">
      <c r="AG31" s="65" t="s">
        <v>1615</v>
      </c>
      <c r="AH31" s="65" t="s">
        <v>1615</v>
      </c>
      <c r="AI31" s="65" t="s">
        <v>1615</v>
      </c>
      <c r="AJ31" s="65" t="s">
        <v>1615</v>
      </c>
      <c r="AK31" s="65" t="s">
        <v>1615</v>
      </c>
      <c r="AL31" s="65" t="s">
        <v>1615</v>
      </c>
      <c r="AM31" s="65" t="s">
        <v>1615</v>
      </c>
    </row>
    <row r="33" spans="33:39" x14ac:dyDescent="0.2">
      <c r="AG33" s="79" t="s">
        <v>1617</v>
      </c>
    </row>
    <row r="34" spans="33:39" x14ac:dyDescent="0.2">
      <c r="AG34" s="67" t="s">
        <v>527</v>
      </c>
      <c r="AH34" s="67" t="s">
        <v>528</v>
      </c>
      <c r="AI34" s="67" t="s">
        <v>532</v>
      </c>
      <c r="AJ34" s="67" t="s">
        <v>529</v>
      </c>
      <c r="AK34" s="67" t="s">
        <v>530</v>
      </c>
      <c r="AL34" s="67" t="s">
        <v>531</v>
      </c>
      <c r="AM34" s="67" t="s">
        <v>533</v>
      </c>
    </row>
    <row r="35" spans="33:39" x14ac:dyDescent="0.2">
      <c r="AG35" s="65" t="s">
        <v>1042</v>
      </c>
      <c r="AH35" s="65" t="s">
        <v>1042</v>
      </c>
      <c r="AI35" s="65" t="s">
        <v>1042</v>
      </c>
      <c r="AJ35" s="65" t="s">
        <v>1048</v>
      </c>
      <c r="AK35" s="65" t="s">
        <v>1048</v>
      </c>
      <c r="AL35" s="65" t="s">
        <v>1048</v>
      </c>
      <c r="AM35" s="65" t="s">
        <v>1047</v>
      </c>
    </row>
    <row r="36" spans="33:39" x14ac:dyDescent="0.2">
      <c r="AG36" s="65" t="s">
        <v>1043</v>
      </c>
      <c r="AH36" s="65" t="s">
        <v>1043</v>
      </c>
      <c r="AI36" s="65" t="s">
        <v>1043</v>
      </c>
      <c r="AJ36" s="65" t="s">
        <v>1049</v>
      </c>
      <c r="AK36" s="65" t="s">
        <v>1049</v>
      </c>
      <c r="AL36" s="65" t="s">
        <v>1049</v>
      </c>
      <c r="AM36" s="65" t="s">
        <v>1052</v>
      </c>
    </row>
    <row r="37" spans="33:39" x14ac:dyDescent="0.2">
      <c r="AG37" s="65" t="s">
        <v>1044</v>
      </c>
      <c r="AH37" s="65" t="s">
        <v>1044</v>
      </c>
      <c r="AI37" s="65" t="s">
        <v>1044</v>
      </c>
      <c r="AJ37" s="65" t="s">
        <v>1047</v>
      </c>
      <c r="AK37" s="65" t="s">
        <v>1047</v>
      </c>
      <c r="AL37" s="65" t="s">
        <v>1047</v>
      </c>
      <c r="AM37" s="65" t="s">
        <v>1051</v>
      </c>
    </row>
    <row r="38" spans="33:39" x14ac:dyDescent="0.2">
      <c r="AG38" s="65" t="s">
        <v>1045</v>
      </c>
      <c r="AH38" s="65" t="s">
        <v>1046</v>
      </c>
      <c r="AI38" s="65" t="s">
        <v>1047</v>
      </c>
      <c r="AJ38" s="65" t="s">
        <v>1046</v>
      </c>
      <c r="AK38" s="65" t="s">
        <v>1050</v>
      </c>
      <c r="AL38" s="65" t="s">
        <v>1051</v>
      </c>
      <c r="AM38" s="65" t="s">
        <v>1050</v>
      </c>
    </row>
  </sheetData>
  <phoneticPr fontId="3" type="noConversion"/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10</vt:lpstr>
      <vt:lpstr>11</vt:lpstr>
      <vt:lpstr>12</vt:lpstr>
      <vt:lpstr>rekap</vt:lpstr>
      <vt:lpstr>'10'!Print_Area</vt:lpstr>
      <vt:lpstr>'11'!Print_Area</vt:lpstr>
      <vt:lpstr>'12'!Print_Area</vt:lpstr>
      <vt:lpstr>'10'!Print_Titles</vt:lpstr>
      <vt:lpstr>'11'!Print_Titles</vt:lpstr>
      <vt:lpstr>'12'!Print_Titles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sriyanta@gmail.com</dc:creator>
  <cp:lastModifiedBy>Sriyanta</cp:lastModifiedBy>
  <cp:lastPrinted>2026-07-19T10:32:24Z</cp:lastPrinted>
  <dcterms:created xsi:type="dcterms:W3CDTF">2017-10-07T08:12:46Z</dcterms:created>
  <dcterms:modified xsi:type="dcterms:W3CDTF">2026-08-18T01:27:50Z</dcterms:modified>
</cp:coreProperties>
</file>